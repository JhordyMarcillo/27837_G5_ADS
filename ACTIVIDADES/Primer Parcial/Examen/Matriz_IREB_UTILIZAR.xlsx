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27837_G5_ADS\Primer Parcial\Examen\"/>
    </mc:Choice>
  </mc:AlternateContent>
  <xr:revisionPtr revIDLastSave="0" documentId="13_ncr:1_{B587BAC2-D1AF-49F4-BD6D-AB0363ECEEF1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Matriz Ckeck LIst" sheetId="1" r:id="rId1"/>
    <sheet name="M LISTA DE COMPROBACIO RF004" sheetId="6" r:id="rId2"/>
    <sheet name="M. LISTA DE COMPROBACION RF006" sheetId="2" r:id="rId3"/>
    <sheet name="RECOMENDACIONES - RF - 002" sheetId="7" r:id="rId4"/>
    <sheet name="RECOMENDACIONES - RF - 006" sheetId="5" r:id="rId5"/>
  </sheets>
  <calcPr calcId="191029"/>
</workbook>
</file>

<file path=xl/calcChain.xml><?xml version="1.0" encoding="utf-8"?>
<calcChain xmlns="http://schemas.openxmlformats.org/spreadsheetml/2006/main">
  <c r="D35" i="6" l="1"/>
  <c r="D36" i="6" s="1"/>
  <c r="C35" i="6"/>
  <c r="C36" i="6" s="1"/>
  <c r="D27" i="6"/>
  <c r="D28" i="6" s="1"/>
  <c r="C27" i="6"/>
  <c r="C28" i="6" s="1"/>
  <c r="D17" i="6"/>
  <c r="D18" i="6" s="1"/>
  <c r="C17" i="6"/>
  <c r="C18" i="6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1C025CB5-99FD-4BC7-8EEC-43E2067C8564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H9" authorId="0" shapeId="0" xr:uid="{66E4511A-8E10-4464-9A3A-B3A294A77497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6429DEA4-3FDA-4431-AA29-A28DC8245A3A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633BBFEF-17CB-4796-8769-EC9D2EFC9A3C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D4F4BCD0-C07D-4E1F-A44E-7E48FDD0185D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81C44A56-FEC6-4D72-80E3-D1E561FD575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8133D039-1DFF-47C2-B8B5-99FF8F2C2D7D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E059A53E-278B-4C6A-BA29-DA9C0673EFAF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E8400B1F-F2A0-4F59-8E6E-AC89C2BBB49B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4620866E-C977-475E-A1E6-DE73E097D42C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944EEE48-21C1-4648-A3BC-941D1BA82FBF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602779AE-B898-475E-B5BE-6F9DD9160C7D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8081C194-5657-4BF6-AE83-4A37B730BFD2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A14" authorId="0" shapeId="0" xr:uid="{144C9998-FC8A-49EC-8AEF-3EA39DD88CC7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A15" authorId="0" shapeId="0" xr:uid="{FF8D76E7-71A1-4262-B095-A0081D208333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A16" authorId="0" shapeId="0" xr:uid="{8E059388-4CF5-46EA-B5AA-396945C55029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A17" authorId="0" shapeId="0" xr:uid="{0C58544A-60E1-40EE-8557-B91158805A54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</commentList>
</comments>
</file>

<file path=xl/sharedStrings.xml><?xml version="1.0" encoding="utf-8"?>
<sst xmlns="http://schemas.openxmlformats.org/spreadsheetml/2006/main" count="246" uniqueCount="91">
  <si>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</si>
  <si>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</si>
  <si>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</si>
  <si>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</si>
  <si>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</si>
  <si>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</si>
  <si>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</si>
  <si>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>Agreed</t>
  </si>
  <si>
    <t>OK</t>
  </si>
  <si>
    <t>Ranked</t>
  </si>
  <si>
    <t>Unambiguos</t>
  </si>
  <si>
    <t>Valid and up-to date</t>
  </si>
  <si>
    <t>NOK</t>
  </si>
  <si>
    <t>Correct</t>
  </si>
  <si>
    <t>Consisten</t>
  </si>
  <si>
    <t>Verifiable</t>
  </si>
  <si>
    <t>Realizable</t>
  </si>
  <si>
    <t>Traceable</t>
  </si>
  <si>
    <t>Complete</t>
  </si>
  <si>
    <t>Understandability</t>
  </si>
  <si>
    <t>FECHA:</t>
  </si>
  <si>
    <t>AUTOR:</t>
  </si>
  <si>
    <t>REQUERIMIENTOS EVALUADOS :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</si>
  <si>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</si>
  <si>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</si>
  <si>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</si>
  <si>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</si>
  <si>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</si>
  <si>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</si>
  <si>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</si>
  <si>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</si>
  <si>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</si>
  <si>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</si>
  <si>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</si>
  <si>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</si>
  <si>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</si>
  <si>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</si>
  <si>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</si>
  <si>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</si>
  <si>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</si>
  <si>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</si>
  <si>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</si>
  <si>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</si>
  <si>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</si>
  <si>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</si>
  <si>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</si>
  <si>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</si>
  <si>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</si>
  <si>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</si>
  <si>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</si>
  <si>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</si>
  <si>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</si>
  <si>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</si>
  <si>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</si>
  <si>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</si>
  <si>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RF - 004  Generar reporte de pagos</t>
  </si>
  <si>
    <t>RF - 002 Ingresar Información</t>
  </si>
  <si>
    <t>RF - 006 Eliminar Información</t>
  </si>
  <si>
    <t xml:space="preserve">El requisito se pondera por importancia, teniendo filas como "Importacia" o "Urgencia" lo que demuestra que si esta clasificado por importancia </t>
  </si>
  <si>
    <t>Se comprende de manera clara a lo que tiene que referirse con el caso de uso de eliminar información, no tiene ambiguedades ni dobles interpretaciones</t>
  </si>
  <si>
    <t>La información correspondiente ha sido añadida teniendo en cuenta el flujo normal y lo que debe de tener este caso de uso.</t>
  </si>
  <si>
    <t>Las expectativas del usuario no se ven completamente reflejadas, además tiene términos no adecuados hacia el usuario como "BD"</t>
  </si>
  <si>
    <t xml:space="preserve">No tiene contradicciones, se refleja calramente que se quiere eliminar información asociada a un usuario y esto es consistente a lo largo del requisito funcional </t>
  </si>
  <si>
    <t>No se puede verificar si este requisito fue implementado ni mucho menos con un esfuerzo razonable, entonces no cumple</t>
  </si>
  <si>
    <t xml:space="preserve">No puede ser implementado ya que no se demuestra una matriz de costos o de tiempo por lo cual no se puede saber si es que puede o no puede ser implementado </t>
  </si>
  <si>
    <t>Trata los asuntos relevantes con respecto al requisito funcional, lo que quiere decir este requisito y además el flujo normal y excepcional que puede tener</t>
  </si>
  <si>
    <t>Los interesados pueden estar involucrados en todo el tiempo con respecto a este requisito funcional</t>
  </si>
  <si>
    <t>En este caso, y con las herramientas disponibles no se puede asegurar que el requisito haya sido acordado y que todos los interesados están de acuerdo con este requisito.</t>
  </si>
  <si>
    <t>¿Se han definido y concretado todas las expectativas de los involucrados?</t>
  </si>
  <si>
    <t>¿Se puede verificar que este requisito es verificable demostrando su esfuerzo razonable?</t>
  </si>
  <si>
    <t>¿El requisito demuestra que puede ser identificado y completado en las condiciones actuales en las que se encuentra?</t>
  </si>
  <si>
    <t>¿Se puede verificar los requisitos que tiene relación con este, los pre-requisitos y los post-requisitos?</t>
  </si>
  <si>
    <t>Reflejar las expectativas del usuario, que es lo que desea y a donde va orientado el deseo con respecto a este requisito del usuario en cuestion</t>
  </si>
  <si>
    <t>Reflejar los esfuerzos del equipo y de los interesados para hacer que este requisito se pueda verificar con todos los interesados y también con los integrantes del equipo</t>
  </si>
  <si>
    <t>Explicar o demostrar que este requisito funcional puede ser completado demostrando una matriz de costos, o de tiempo que tomaría implementar por completo este requisito</t>
  </si>
  <si>
    <t>Demostrar adentro de la tabla de este requisito, las pre y post condiciones que tiene.</t>
  </si>
  <si>
    <t>RF - 006 Eliminar Informacion</t>
  </si>
  <si>
    <t>Jhordy Marcillo</t>
  </si>
  <si>
    <t>x</t>
  </si>
  <si>
    <t>La información con respecta a generar reportes de pago ha sido incorporada correctamente, se tiene que debe de ir en la tabla y la extensión del archivo que se va a generar</t>
  </si>
  <si>
    <t xml:space="preserve">Las expectativas del usuario se ven reflejadas correctamente al mostrar lo que se desea generar  con que parametros se puede generare </t>
  </si>
  <si>
    <t xml:space="preserve">No tiene contradicciones, se refleja calramente que se quiere generar con la información que se expone en el requisito </t>
  </si>
  <si>
    <t>RF - 004 Generar reportes</t>
  </si>
  <si>
    <t>¿El requisito tiene una sola interpretación no importando quien lo lea?</t>
  </si>
  <si>
    <t xml:space="preserve">Poner solamente un requisito en la descripción ya que en este requisito ponen otro posible requisito, el "Registro de Pagos", lo cual sería mejor poner separados para una mejor interpretación </t>
  </si>
  <si>
    <t>No se puede entender bien a lo que se refiere con cambiar los parámetros, que parámetros se puede, se puede eliminar el parámetro anterior. Además mezcla con otro caso de uso, que es el "Registro de Pagos"</t>
  </si>
  <si>
    <t>Se comprende de manera clara a lo que tiene que referirse con el caso de uso de generar reporte de pagos, la información, no tiene ambiguedades ni dobles interpretaciones</t>
  </si>
  <si>
    <t>La información con respecta al ingreso de información se ha incorporaoa correctamente.</t>
  </si>
  <si>
    <t>Las expectativas del usuario se ven reflejadas correctamente al mostrar lo que se desea hacer al momento de agregar información con los atributos correspondientes a este</t>
  </si>
  <si>
    <t>No tiene contradicciones, se refleja calramente que se quiere hacer al momento de ingresar información</t>
  </si>
  <si>
    <t>En la tabla del requisito no se muestra explicitamente los requisitos posteriores a este caso de uso, en este caso de uso no se muestran los requisitos asociados, solo ponen un objetivo del requisito mas no otro requisito que este asociado a este, no se sabe si modifican este requisito a que otro requisito afecta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</si>
</sst>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  <xf numFmtId="0" fontId="8" fillId="0" borderId="14" xfId="0" applyFont="1" applyBorder="1" applyAlignment="1">
      <alignment wrapText="1"/>
    </xf>
    <xf numFmtId="0" fontId="0" fillId="0" borderId="17" xfId="0" applyBorder="1"/>
  </cellXfs>
  <cellStyles count="1">
    <cellStyle name="Normal" xfId="0" builtinId="0"/>
  </cellStyles>
  <dxfs count="4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MODELO LISTA DE COMPROBACION - -style 2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MODELO LISTA DE COMPROBACION - -style 3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Hoja 1-style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Hoja 1-style 2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Hoja 1-style 3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MODELO DE LISTA DE COMPROBACION-style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MODELO DE LISTA DE COMPROBACION-style 2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MODELO DE LISTA DE COMPROBACION-style 3" pivot="0" count="3" xr9:uid="{00000000-0011-0000-FFFF-FFFF08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8264-4BB6-921D-45751A7CC55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8264-4BB6-921D-45751A7CC55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8264-4BB6-921D-45751A7CC55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 LISTA DE COMPROBACIO RF004'!$B$41:$B$43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 LISTA DE COMPROBACIO RF004'!$C$41:$C$43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264-4BB6-921D-45751A7CC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834-426B-94FC-3F0698953D1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834-426B-94FC-3F0698953D1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834-426B-94FC-3F0698953D1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'M. LISTA DE COMPROBACION RF006'!$B$41:$B$43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'M. LISTA DE COMPROBACION RF006'!$C$41:$C$43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F834-426B-94FC-3F0698953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C9217-DDF5-466A-BEAB-DD18E6FFF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CAC00-8049-425A-87F1-B9B8D9EE19D1}" name="Table_15" displayName="Table_15" ref="A7:D16">
  <tableColumns count="4">
    <tableColumn id="1" xr3:uid="{908CD24F-F972-4E8C-9093-036389B2F812}" name="No."/>
    <tableColumn id="2" xr3:uid="{E883D85B-A454-4DC9-B879-A249814B44AB}" name="Pregunta"/>
    <tableColumn id="3" xr3:uid="{F12C2DDF-4567-4F25-85DE-971C3B8B76FA}" name="SI"/>
    <tableColumn id="4" xr3:uid="{EFA3D534-BFC1-4949-AC8A-B6A0B26BF7F5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2C9767-3C89-46CF-96F4-8B186FC8E1D7}" name="Table_26" displayName="Table_26" ref="A21:D26">
  <tableColumns count="4">
    <tableColumn id="1" xr3:uid="{4E129714-F273-4DD6-8B69-83A22246670D}" name="No."/>
    <tableColumn id="2" xr3:uid="{8CCEBD61-DC49-459B-AAAB-5EFB145DBB88}" name="Pregunta"/>
    <tableColumn id="3" xr3:uid="{41100263-1E69-408B-90B1-C87A3E9E56A4}" name="SI"/>
    <tableColumn id="4" xr3:uid="{413EC71E-ACD6-45FE-886D-C453F7D85C85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103A9E-8AA7-41FB-83B3-E78338C57B28}" name="Table_37" displayName="Table_37" ref="A31:D34">
  <tableColumns count="4">
    <tableColumn id="1" xr3:uid="{35F19E4A-729D-4D39-9A5F-94819D689B9E}" name="No."/>
    <tableColumn id="2" xr3:uid="{83D43219-6B29-48E7-845A-B12E6DB14DB5}" name="Pregunta"/>
    <tableColumn id="3" xr3:uid="{6BC9F6D1-5FCD-4E44-81BC-2EA0952B6098}" name="SI"/>
    <tableColumn id="4" xr3:uid="{4A4FFC28-4FC3-4193-BBD4-912DC0009764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C10" zoomScale="80" zoomScaleNormal="80" workbookViewId="0">
      <selection activeCell="F17" sqref="F17"/>
    </sheetView>
  </sheetViews>
  <sheetFormatPr defaultColWidth="14.453125" defaultRowHeight="15" customHeight="1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42.726562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39.54296875" customWidth="1"/>
    <col min="12" max="27" width="11.453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4" t="s">
        <v>0</v>
      </c>
      <c r="D3" s="45"/>
      <c r="E3" s="45"/>
      <c r="F3" s="45"/>
      <c r="G3" s="45"/>
      <c r="H3" s="45"/>
      <c r="I3" s="45"/>
      <c r="J3" s="45"/>
      <c r="K3" s="45"/>
    </row>
    <row r="4" spans="2:11" ht="30" customHeight="1">
      <c r="C4" s="45"/>
      <c r="D4" s="45"/>
      <c r="E4" s="45"/>
      <c r="F4" s="45"/>
      <c r="G4" s="45"/>
      <c r="H4" s="45"/>
      <c r="I4" s="45"/>
      <c r="J4" s="45"/>
      <c r="K4" s="45"/>
    </row>
    <row r="5" spans="2:11" ht="30" customHeight="1">
      <c r="C5" s="2"/>
      <c r="D5" s="3" t="s">
        <v>1</v>
      </c>
      <c r="E5" s="46" t="s">
        <v>2</v>
      </c>
      <c r="F5" s="45"/>
      <c r="G5" s="45"/>
      <c r="H5" s="45"/>
      <c r="I5" s="45"/>
      <c r="J5" s="45"/>
      <c r="K5" s="45"/>
    </row>
    <row r="6" spans="2:11" ht="55.5" customHeight="1">
      <c r="C6" s="1"/>
      <c r="F6" s="47" t="s">
        <v>3</v>
      </c>
      <c r="G6" s="48"/>
      <c r="H6" s="48"/>
      <c r="I6" s="48"/>
      <c r="J6" s="48"/>
      <c r="K6" s="36"/>
    </row>
    <row r="7" spans="2:11" ht="45" customHeight="1">
      <c r="B7" s="37" t="s">
        <v>4</v>
      </c>
      <c r="C7" s="39" t="s">
        <v>5</v>
      </c>
      <c r="D7" s="40"/>
      <c r="E7" s="43" t="s">
        <v>6</v>
      </c>
      <c r="F7" s="37" t="s">
        <v>56</v>
      </c>
      <c r="G7" s="43" t="s">
        <v>6</v>
      </c>
      <c r="H7" s="4">
        <v>100</v>
      </c>
      <c r="I7" s="37" t="s">
        <v>55</v>
      </c>
      <c r="J7" s="43" t="s">
        <v>6</v>
      </c>
      <c r="K7" s="37" t="s">
        <v>57</v>
      </c>
    </row>
    <row r="8" spans="2:11" ht="60" customHeight="1">
      <c r="B8" s="38"/>
      <c r="C8" s="41"/>
      <c r="D8" s="42"/>
      <c r="E8" s="38"/>
      <c r="F8" s="38"/>
      <c r="G8" s="38"/>
      <c r="H8" s="4">
        <v>0</v>
      </c>
      <c r="I8" s="38"/>
      <c r="J8" s="38"/>
      <c r="K8" s="38"/>
    </row>
    <row r="9" spans="2:11" ht="82.5" customHeight="1">
      <c r="B9" s="5">
        <v>1</v>
      </c>
      <c r="C9" s="35" t="s">
        <v>7</v>
      </c>
      <c r="D9" s="36"/>
      <c r="E9" s="11" t="s">
        <v>12</v>
      </c>
      <c r="F9" s="7" t="s">
        <v>67</v>
      </c>
      <c r="G9" s="11" t="s">
        <v>12</v>
      </c>
      <c r="H9" s="7" t="s">
        <v>67</v>
      </c>
      <c r="I9" s="7" t="s">
        <v>67</v>
      </c>
      <c r="J9" s="11" t="s">
        <v>12</v>
      </c>
      <c r="K9" s="7" t="s">
        <v>67</v>
      </c>
    </row>
    <row r="10" spans="2:11" ht="67.5" customHeight="1">
      <c r="B10" s="5">
        <v>2</v>
      </c>
      <c r="C10" s="35" t="s">
        <v>9</v>
      </c>
      <c r="D10" s="36"/>
      <c r="E10" s="6" t="s">
        <v>8</v>
      </c>
      <c r="F10" s="9" t="s">
        <v>58</v>
      </c>
      <c r="G10" s="6" t="s">
        <v>8</v>
      </c>
      <c r="I10" s="9" t="s">
        <v>58</v>
      </c>
      <c r="J10" s="6" t="s">
        <v>8</v>
      </c>
      <c r="K10" s="9" t="s">
        <v>58</v>
      </c>
    </row>
    <row r="11" spans="2:11" ht="93.5" customHeight="1">
      <c r="B11" s="5">
        <v>3</v>
      </c>
      <c r="C11" s="35" t="s">
        <v>10</v>
      </c>
      <c r="D11" s="36"/>
      <c r="E11" s="11" t="s">
        <v>12</v>
      </c>
      <c r="F11" s="9" t="s">
        <v>85</v>
      </c>
      <c r="G11" s="6" t="s">
        <v>8</v>
      </c>
      <c r="I11" s="9" t="s">
        <v>86</v>
      </c>
      <c r="J11" s="6" t="s">
        <v>8</v>
      </c>
      <c r="K11" s="9" t="s">
        <v>59</v>
      </c>
    </row>
    <row r="12" spans="2:11" ht="84" customHeight="1">
      <c r="B12" s="5">
        <v>4</v>
      </c>
      <c r="C12" s="35" t="s">
        <v>11</v>
      </c>
      <c r="D12" s="36"/>
      <c r="E12" s="6" t="s">
        <v>8</v>
      </c>
      <c r="F12" s="10" t="s">
        <v>87</v>
      </c>
      <c r="G12" s="6" t="s">
        <v>8</v>
      </c>
      <c r="I12" s="10" t="s">
        <v>79</v>
      </c>
      <c r="J12" s="6" t="s">
        <v>8</v>
      </c>
      <c r="K12" s="10" t="s">
        <v>60</v>
      </c>
    </row>
    <row r="13" spans="2:11" ht="74" customHeight="1">
      <c r="B13" s="5">
        <v>5</v>
      </c>
      <c r="C13" s="35" t="s">
        <v>13</v>
      </c>
      <c r="D13" s="36"/>
      <c r="E13" s="6" t="s">
        <v>8</v>
      </c>
      <c r="F13" s="10" t="s">
        <v>88</v>
      </c>
      <c r="G13" s="6" t="s">
        <v>8</v>
      </c>
      <c r="I13" s="10" t="s">
        <v>80</v>
      </c>
      <c r="J13" s="11" t="s">
        <v>12</v>
      </c>
      <c r="K13" s="10" t="s">
        <v>61</v>
      </c>
    </row>
    <row r="14" spans="2:11" ht="96" customHeight="1">
      <c r="B14" s="5">
        <v>6</v>
      </c>
      <c r="C14" s="35" t="s">
        <v>14</v>
      </c>
      <c r="D14" s="36"/>
      <c r="E14" s="6" t="s">
        <v>8</v>
      </c>
      <c r="F14" s="10" t="s">
        <v>89</v>
      </c>
      <c r="G14" s="6" t="s">
        <v>8</v>
      </c>
      <c r="I14" s="10" t="s">
        <v>81</v>
      </c>
      <c r="J14" s="6" t="s">
        <v>8</v>
      </c>
      <c r="K14" s="10" t="s">
        <v>62</v>
      </c>
    </row>
    <row r="15" spans="2:11" ht="58.5" customHeight="1">
      <c r="B15" s="5">
        <v>7</v>
      </c>
      <c r="C15" s="35" t="s">
        <v>15</v>
      </c>
      <c r="D15" s="36"/>
      <c r="E15" s="11" t="s">
        <v>12</v>
      </c>
      <c r="F15" s="10" t="s">
        <v>63</v>
      </c>
      <c r="G15" s="11" t="s">
        <v>12</v>
      </c>
      <c r="I15" s="10" t="s">
        <v>63</v>
      </c>
      <c r="J15" s="11" t="s">
        <v>12</v>
      </c>
      <c r="K15" s="10" t="s">
        <v>63</v>
      </c>
    </row>
    <row r="16" spans="2:11" ht="80.5" customHeight="1">
      <c r="B16" s="5">
        <v>8</v>
      </c>
      <c r="C16" s="35" t="s">
        <v>16</v>
      </c>
      <c r="D16" s="36"/>
      <c r="E16" s="11" t="s">
        <v>12</v>
      </c>
      <c r="F16" s="10" t="s">
        <v>64</v>
      </c>
      <c r="G16" s="11" t="s">
        <v>12</v>
      </c>
      <c r="I16" s="10" t="s">
        <v>64</v>
      </c>
      <c r="J16" s="11" t="s">
        <v>12</v>
      </c>
      <c r="K16" s="10" t="s">
        <v>64</v>
      </c>
    </row>
    <row r="17" spans="2:11" ht="173" customHeight="1">
      <c r="B17" s="5">
        <v>9</v>
      </c>
      <c r="C17" s="35" t="s">
        <v>17</v>
      </c>
      <c r="D17" s="36"/>
      <c r="E17" s="11" t="s">
        <v>12</v>
      </c>
      <c r="F17" s="12" t="s">
        <v>90</v>
      </c>
      <c r="G17" s="11" t="s">
        <v>12</v>
      </c>
      <c r="I17" s="12" t="s">
        <v>90</v>
      </c>
      <c r="J17" s="11" t="s">
        <v>12</v>
      </c>
      <c r="K17" s="12" t="s">
        <v>90</v>
      </c>
    </row>
    <row r="18" spans="2:11" ht="82" customHeight="1">
      <c r="B18" s="5">
        <v>10</v>
      </c>
      <c r="C18" s="35" t="s">
        <v>18</v>
      </c>
      <c r="D18" s="36"/>
      <c r="E18" s="6" t="s">
        <v>8</v>
      </c>
      <c r="F18" s="10" t="s">
        <v>65</v>
      </c>
      <c r="G18" s="6" t="s">
        <v>8</v>
      </c>
      <c r="I18" s="10" t="s">
        <v>65</v>
      </c>
      <c r="J18" s="6" t="s">
        <v>8</v>
      </c>
      <c r="K18" s="10" t="s">
        <v>65</v>
      </c>
    </row>
    <row r="19" spans="2:11" ht="63" customHeight="1">
      <c r="B19" s="5">
        <v>11</v>
      </c>
      <c r="C19" s="35" t="s">
        <v>19</v>
      </c>
      <c r="D19" s="36"/>
      <c r="E19" s="6" t="s">
        <v>8</v>
      </c>
      <c r="F19" s="10" t="s">
        <v>66</v>
      </c>
      <c r="G19" s="6" t="s">
        <v>8</v>
      </c>
      <c r="I19" s="10" t="s">
        <v>66</v>
      </c>
      <c r="J19" s="6" t="s">
        <v>8</v>
      </c>
      <c r="K19" s="10" t="s">
        <v>66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93DF-1053-4D33-8E49-8DB6FB5BA4A3}">
  <dimension ref="A1:Z1000"/>
  <sheetViews>
    <sheetView workbookViewId="0">
      <selection activeCell="C4" sqref="C4:D4"/>
    </sheetView>
  </sheetViews>
  <sheetFormatPr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1"/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20</v>
      </c>
      <c r="C2" s="52">
        <v>45967</v>
      </c>
      <c r="D2" s="45"/>
    </row>
    <row r="3" spans="1:26" ht="14.25" customHeight="1">
      <c r="B3" s="15" t="s">
        <v>21</v>
      </c>
      <c r="C3" s="53" t="s">
        <v>77</v>
      </c>
      <c r="D3" s="45"/>
    </row>
    <row r="4" spans="1:26" ht="14.25" customHeight="1">
      <c r="B4" s="15" t="s">
        <v>22</v>
      </c>
      <c r="C4" s="53" t="s">
        <v>82</v>
      </c>
      <c r="D4" s="45"/>
    </row>
    <row r="5" spans="1:26" ht="14.25" customHeight="1"/>
    <row r="6" spans="1:26" ht="14.25" customHeight="1">
      <c r="A6" s="54" t="s">
        <v>23</v>
      </c>
      <c r="B6" s="45"/>
      <c r="C6" s="45"/>
      <c r="D6" s="45"/>
    </row>
    <row r="7" spans="1:26" ht="15" customHeight="1">
      <c r="A7" s="16" t="s">
        <v>24</v>
      </c>
      <c r="B7" s="17" t="s">
        <v>25</v>
      </c>
      <c r="C7" s="17" t="s">
        <v>26</v>
      </c>
      <c r="D7" s="18" t="s">
        <v>27</v>
      </c>
    </row>
    <row r="8" spans="1:26" ht="32.5" customHeight="1">
      <c r="A8" s="19">
        <v>1</v>
      </c>
      <c r="B8" s="20" t="s">
        <v>28</v>
      </c>
      <c r="C8" s="21" t="s">
        <v>78</v>
      </c>
      <c r="D8" s="22"/>
    </row>
    <row r="9" spans="1:26" ht="14.25" customHeight="1">
      <c r="A9" s="19">
        <v>2</v>
      </c>
      <c r="B9" s="20" t="s">
        <v>29</v>
      </c>
      <c r="C9" s="21"/>
      <c r="D9" s="22" t="s">
        <v>78</v>
      </c>
    </row>
    <row r="10" spans="1:26" ht="14.25" customHeight="1">
      <c r="A10" s="19">
        <v>3</v>
      </c>
      <c r="B10" s="20" t="s">
        <v>30</v>
      </c>
      <c r="C10" s="21"/>
      <c r="D10" s="22" t="s">
        <v>78</v>
      </c>
    </row>
    <row r="11" spans="1:26" ht="14.25" customHeight="1">
      <c r="A11" s="19">
        <v>4</v>
      </c>
      <c r="B11" s="20" t="s">
        <v>31</v>
      </c>
      <c r="C11" s="21"/>
      <c r="D11" s="22" t="s">
        <v>78</v>
      </c>
    </row>
    <row r="12" spans="1:26" ht="14.25" customHeight="1">
      <c r="A12" s="19">
        <v>5</v>
      </c>
      <c r="B12" s="20" t="s">
        <v>32</v>
      </c>
      <c r="C12" s="21"/>
      <c r="D12" s="22" t="s">
        <v>78</v>
      </c>
    </row>
    <row r="13" spans="1:26" ht="14.25" customHeight="1">
      <c r="A13" s="19">
        <v>6</v>
      </c>
      <c r="B13" s="20" t="s">
        <v>33</v>
      </c>
      <c r="C13" s="21" t="s">
        <v>78</v>
      </c>
      <c r="D13" s="22"/>
    </row>
    <row r="14" spans="1:26" ht="14.25" customHeight="1">
      <c r="A14" s="19">
        <v>7</v>
      </c>
      <c r="B14" s="20" t="s">
        <v>34</v>
      </c>
      <c r="C14" s="21" t="s">
        <v>78</v>
      </c>
      <c r="D14" s="22"/>
    </row>
    <row r="15" spans="1:26" ht="14.25" customHeight="1">
      <c r="A15" s="19">
        <v>8</v>
      </c>
      <c r="B15" s="20" t="s">
        <v>35</v>
      </c>
      <c r="C15" s="21" t="s">
        <v>78</v>
      </c>
      <c r="D15" s="22"/>
    </row>
    <row r="16" spans="1:26" ht="14.25" customHeight="1">
      <c r="A16" s="23">
        <v>9</v>
      </c>
      <c r="B16" s="24" t="s">
        <v>36</v>
      </c>
      <c r="C16" s="25"/>
      <c r="D16" s="25" t="s">
        <v>78</v>
      </c>
    </row>
    <row r="17" spans="1:4" ht="14.25" customHeight="1">
      <c r="A17" s="49" t="s">
        <v>37</v>
      </c>
      <c r="B17" s="45"/>
      <c r="C17" s="27">
        <f>COUNTA('M LISTA DE COMPROBACIO RF004'!$C$8:$C$16)</f>
        <v>4</v>
      </c>
      <c r="D17" s="27">
        <f>COUNTA('M LISTA DE COMPROBACIO RF004'!$D$8:$D$16)</f>
        <v>5</v>
      </c>
    </row>
    <row r="18" spans="1:4" ht="14.25" customHeight="1">
      <c r="A18" s="49" t="s">
        <v>38</v>
      </c>
      <c r="B18" s="45"/>
      <c r="C18" s="28">
        <f t="shared" ref="C18:D18" si="0">C17/9</f>
        <v>0.44444444444444442</v>
      </c>
      <c r="D18" s="28">
        <f t="shared" si="0"/>
        <v>0.55555555555555558</v>
      </c>
    </row>
    <row r="19" spans="1:4" ht="14.25" customHeight="1">
      <c r="A19" s="26"/>
      <c r="B19" s="26"/>
      <c r="C19" s="28"/>
      <c r="D19" s="27"/>
    </row>
    <row r="20" spans="1:4" ht="14.25" customHeight="1">
      <c r="A20" s="55" t="s">
        <v>39</v>
      </c>
      <c r="B20" s="56"/>
      <c r="C20" s="56"/>
      <c r="D20" s="56"/>
    </row>
    <row r="21" spans="1:4" ht="14.25" customHeight="1">
      <c r="A21" s="29" t="s">
        <v>24</v>
      </c>
      <c r="B21" s="30" t="s">
        <v>25</v>
      </c>
      <c r="C21" s="31" t="s">
        <v>26</v>
      </c>
      <c r="D21" s="32" t="s">
        <v>27</v>
      </c>
    </row>
    <row r="22" spans="1:4" ht="14.25" customHeight="1">
      <c r="A22" s="19">
        <v>1</v>
      </c>
      <c r="B22" s="20" t="s">
        <v>40</v>
      </c>
      <c r="C22" s="25" t="s">
        <v>78</v>
      </c>
      <c r="D22" s="22"/>
    </row>
    <row r="23" spans="1:4" ht="14.25" customHeight="1">
      <c r="A23" s="19">
        <v>2</v>
      </c>
      <c r="B23" s="20" t="s">
        <v>41</v>
      </c>
      <c r="C23" s="25" t="s">
        <v>78</v>
      </c>
      <c r="D23" s="22"/>
    </row>
    <row r="24" spans="1:4" ht="14.25" customHeight="1">
      <c r="A24" s="19">
        <v>3</v>
      </c>
      <c r="B24" s="20" t="s">
        <v>42</v>
      </c>
      <c r="C24" s="25"/>
      <c r="D24" s="22" t="s">
        <v>78</v>
      </c>
    </row>
    <row r="25" spans="1:4" ht="14.25" customHeight="1">
      <c r="A25" s="19">
        <v>4</v>
      </c>
      <c r="B25" s="20" t="s">
        <v>43</v>
      </c>
      <c r="C25" s="25" t="s">
        <v>78</v>
      </c>
      <c r="D25" s="22"/>
    </row>
    <row r="26" spans="1:4" ht="14.25" customHeight="1">
      <c r="A26" s="23">
        <v>5</v>
      </c>
      <c r="B26" s="24" t="s">
        <v>44</v>
      </c>
      <c r="C26" s="25" t="s">
        <v>78</v>
      </c>
      <c r="D26" s="33"/>
    </row>
    <row r="27" spans="1:4" ht="14.25" customHeight="1">
      <c r="A27" s="49" t="s">
        <v>37</v>
      </c>
      <c r="B27" s="45"/>
      <c r="C27" s="27">
        <f>COUNTA('M LISTA DE COMPROBACIO RF004'!$C$22:$C$26)</f>
        <v>4</v>
      </c>
      <c r="D27" s="27">
        <f>COUNTA('M LISTA DE COMPROBACIO RF004'!$D$22:$D$26)</f>
        <v>1</v>
      </c>
    </row>
    <row r="28" spans="1:4" ht="14.25" customHeight="1">
      <c r="A28" s="49" t="s">
        <v>38</v>
      </c>
      <c r="B28" s="45"/>
      <c r="C28" s="28">
        <f t="shared" ref="C28:D28" si="1">C27/5</f>
        <v>0.8</v>
      </c>
      <c r="D28" s="28">
        <f t="shared" si="1"/>
        <v>0.2</v>
      </c>
    </row>
    <row r="29" spans="1:4" ht="14.25" customHeight="1">
      <c r="A29" s="26"/>
      <c r="B29" s="26"/>
      <c r="C29" s="28"/>
      <c r="D29" s="27"/>
    </row>
    <row r="30" spans="1:4" ht="14.25" customHeight="1">
      <c r="A30" s="54" t="s">
        <v>45</v>
      </c>
      <c r="B30" s="45"/>
      <c r="C30" s="45"/>
      <c r="D30" s="45"/>
    </row>
    <row r="31" spans="1:4" ht="14.25" customHeight="1">
      <c r="A31" s="29" t="s">
        <v>24</v>
      </c>
      <c r="B31" s="30" t="s">
        <v>25</v>
      </c>
      <c r="C31" s="31" t="s">
        <v>26</v>
      </c>
      <c r="D31" s="32" t="s">
        <v>27</v>
      </c>
    </row>
    <row r="32" spans="1:4" ht="14.25" customHeight="1">
      <c r="A32" s="19">
        <v>1</v>
      </c>
      <c r="B32" s="20" t="s">
        <v>46</v>
      </c>
      <c r="C32" s="25"/>
      <c r="D32" s="25" t="s">
        <v>78</v>
      </c>
    </row>
    <row r="33" spans="1:4" ht="14.25" customHeight="1">
      <c r="A33" s="19">
        <v>2</v>
      </c>
      <c r="B33" s="20" t="s">
        <v>47</v>
      </c>
      <c r="C33" s="25"/>
      <c r="D33" s="25" t="s">
        <v>78</v>
      </c>
    </row>
    <row r="34" spans="1:4" ht="14.25" customHeight="1">
      <c r="A34" s="23">
        <v>3</v>
      </c>
      <c r="B34" s="24" t="s">
        <v>48</v>
      </c>
      <c r="C34" s="25" t="s">
        <v>78</v>
      </c>
      <c r="D34" s="25"/>
    </row>
    <row r="35" spans="1:4" ht="14.25" customHeight="1">
      <c r="A35" s="49" t="s">
        <v>37</v>
      </c>
      <c r="B35" s="45"/>
      <c r="C35" s="8">
        <f>COUNTA('M LISTA DE COMPROBACIO RF004'!$C$32:$C$34)</f>
        <v>1</v>
      </c>
      <c r="D35" s="8">
        <f>COUNTA('M LISTA DE COMPROBACIO RF004'!$D$32:$D$34)</f>
        <v>2</v>
      </c>
    </row>
    <row r="36" spans="1:4" ht="14.25" customHeight="1">
      <c r="A36" s="49" t="s">
        <v>38</v>
      </c>
      <c r="B36" s="45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50" t="s">
        <v>49</v>
      </c>
      <c r="B40" s="45"/>
      <c r="C40" s="45"/>
    </row>
    <row r="41" spans="1:4" ht="30" customHeight="1">
      <c r="B41" s="13" t="s">
        <v>50</v>
      </c>
      <c r="C41" s="27"/>
    </row>
    <row r="42" spans="1:4" ht="30" customHeight="1">
      <c r="B42" s="13" t="s">
        <v>39</v>
      </c>
      <c r="C42" s="27"/>
    </row>
    <row r="43" spans="1:4" ht="30" customHeight="1">
      <c r="B43" s="13" t="s">
        <v>45</v>
      </c>
      <c r="C43" s="27"/>
    </row>
    <row r="44" spans="1:4" ht="14.25" customHeight="1">
      <c r="C44" s="27"/>
    </row>
    <row r="45" spans="1:4" ht="14.25" customHeight="1">
      <c r="C45" s="2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A18:B18"/>
    <mergeCell ref="A20:D20"/>
    <mergeCell ref="A27:B27"/>
    <mergeCell ref="A28:B28"/>
    <mergeCell ref="A30:D30"/>
    <mergeCell ref="A35:B35"/>
    <mergeCell ref="C1:D1"/>
    <mergeCell ref="C2:D2"/>
    <mergeCell ref="C3:D3"/>
    <mergeCell ref="C4:D4"/>
    <mergeCell ref="A6:D6"/>
    <mergeCell ref="A17:B17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3" operator="containsText" text="X">
      <formula>NOT(ISERROR(SEARCH(("X"),(C8))))</formula>
    </cfRule>
    <cfRule type="containsText" dxfId="13" priority="4" operator="containsText" text="X">
      <formula>NOT(ISERROR(SEARCH(("X"),(C8))))</formula>
    </cfRule>
    <cfRule type="containsText" dxfId="12" priority="5" operator="containsText" text="X">
      <formula>NOT(ISERROR(SEARCH(("X"),(C8))))</formula>
    </cfRule>
  </conditionalFormatting>
  <conditionalFormatting sqref="C22:D26">
    <cfRule type="containsText" dxfId="11" priority="6" operator="containsText" text="X">
      <formula>NOT(ISERROR(SEARCH(("X"),(C22))))</formula>
    </cfRule>
    <cfRule type="containsText" dxfId="10" priority="7" operator="containsText" text="X">
      <formula>NOT(ISERROR(SEARCH(("X"),(C22))))</formula>
    </cfRule>
  </conditionalFormatting>
  <conditionalFormatting sqref="C32:D34 C8:D16 C22:C26">
    <cfRule type="containsText" dxfId="9" priority="2" operator="containsText" text="X">
      <formula>NOT(ISERROR(SEARCH(("X"),(C8))))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D1" workbookViewId="0">
      <selection activeCell="E32" sqref="E32"/>
    </sheetView>
  </sheetViews>
  <sheetFormatPr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1"/>
      <c r="D1" s="45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20</v>
      </c>
      <c r="C2" s="52">
        <v>45967</v>
      </c>
      <c r="D2" s="45"/>
    </row>
    <row r="3" spans="1:26" ht="14.25" customHeight="1">
      <c r="B3" s="15" t="s">
        <v>21</v>
      </c>
      <c r="C3" s="53" t="s">
        <v>77</v>
      </c>
      <c r="D3" s="45"/>
    </row>
    <row r="4" spans="1:26" ht="14.25" customHeight="1">
      <c r="B4" s="15" t="s">
        <v>22</v>
      </c>
      <c r="C4" s="53" t="s">
        <v>76</v>
      </c>
      <c r="D4" s="45"/>
    </row>
    <row r="5" spans="1:26" ht="14.25" customHeight="1"/>
    <row r="6" spans="1:26" ht="14.25" customHeight="1">
      <c r="A6" s="54" t="s">
        <v>23</v>
      </c>
      <c r="B6" s="45"/>
      <c r="C6" s="45"/>
      <c r="D6" s="45"/>
    </row>
    <row r="7" spans="1:26" ht="15" customHeight="1">
      <c r="A7" s="16" t="s">
        <v>24</v>
      </c>
      <c r="B7" s="17" t="s">
        <v>25</v>
      </c>
      <c r="C7" s="17" t="s">
        <v>26</v>
      </c>
      <c r="D7" s="18" t="s">
        <v>27</v>
      </c>
    </row>
    <row r="8" spans="1:26" ht="32.5" customHeight="1">
      <c r="A8" s="19">
        <v>1</v>
      </c>
      <c r="B8" s="20" t="s">
        <v>28</v>
      </c>
      <c r="C8" s="21" t="s">
        <v>78</v>
      </c>
      <c r="D8" s="22"/>
    </row>
    <row r="9" spans="1:26" ht="14.25" customHeight="1">
      <c r="A9" s="19">
        <v>2</v>
      </c>
      <c r="B9" s="20" t="s">
        <v>29</v>
      </c>
      <c r="C9" s="21"/>
      <c r="D9" s="22" t="s">
        <v>78</v>
      </c>
    </row>
    <row r="10" spans="1:26" ht="14.25" customHeight="1">
      <c r="A10" s="19">
        <v>3</v>
      </c>
      <c r="B10" s="20" t="s">
        <v>30</v>
      </c>
      <c r="C10" s="21"/>
      <c r="D10" s="22" t="s">
        <v>78</v>
      </c>
    </row>
    <row r="11" spans="1:26" ht="14.25" customHeight="1">
      <c r="A11" s="19">
        <v>4</v>
      </c>
      <c r="B11" s="20" t="s">
        <v>31</v>
      </c>
      <c r="C11" s="21"/>
      <c r="D11" s="22" t="s">
        <v>78</v>
      </c>
    </row>
    <row r="12" spans="1:26" ht="14.25" customHeight="1">
      <c r="A12" s="19">
        <v>5</v>
      </c>
      <c r="B12" s="20" t="s">
        <v>32</v>
      </c>
      <c r="C12" s="21"/>
      <c r="D12" s="22" t="s">
        <v>78</v>
      </c>
    </row>
    <row r="13" spans="1:26" ht="14.25" customHeight="1">
      <c r="A13" s="19">
        <v>6</v>
      </c>
      <c r="B13" s="20" t="s">
        <v>33</v>
      </c>
      <c r="C13" s="21" t="s">
        <v>78</v>
      </c>
      <c r="D13" s="22"/>
    </row>
    <row r="14" spans="1:26" ht="14.25" customHeight="1">
      <c r="A14" s="19">
        <v>7</v>
      </c>
      <c r="B14" s="20" t="s">
        <v>34</v>
      </c>
      <c r="C14" s="21" t="s">
        <v>78</v>
      </c>
      <c r="D14" s="22"/>
    </row>
    <row r="15" spans="1:26" ht="14.25" customHeight="1">
      <c r="A15" s="19">
        <v>8</v>
      </c>
      <c r="B15" s="20" t="s">
        <v>35</v>
      </c>
      <c r="C15" s="21" t="s">
        <v>78</v>
      </c>
      <c r="D15" s="22"/>
    </row>
    <row r="16" spans="1:26" ht="14.25" customHeight="1">
      <c r="A16" s="23">
        <v>9</v>
      </c>
      <c r="B16" s="24" t="s">
        <v>36</v>
      </c>
      <c r="C16" s="25"/>
      <c r="D16" s="25" t="s">
        <v>78</v>
      </c>
    </row>
    <row r="17" spans="1:4" ht="14.25" customHeight="1">
      <c r="A17" s="49" t="s">
        <v>37</v>
      </c>
      <c r="B17" s="45"/>
      <c r="C17" s="27">
        <f>COUNTA('M. LISTA DE COMPROBACION RF006'!$C$8:$C$16)</f>
        <v>4</v>
      </c>
      <c r="D17" s="27">
        <f>COUNTA('M. LISTA DE COMPROBACION RF006'!$D$8:$D$16)</f>
        <v>5</v>
      </c>
    </row>
    <row r="18" spans="1:4" ht="14.25" customHeight="1">
      <c r="A18" s="49" t="s">
        <v>38</v>
      </c>
      <c r="B18" s="45"/>
      <c r="C18" s="28">
        <f t="shared" ref="C18:D18" si="0">C17/9</f>
        <v>0.44444444444444442</v>
      </c>
      <c r="D18" s="28">
        <f t="shared" si="0"/>
        <v>0.55555555555555558</v>
      </c>
    </row>
    <row r="19" spans="1:4" ht="14.25" customHeight="1">
      <c r="A19" s="26"/>
      <c r="B19" s="26"/>
      <c r="C19" s="28"/>
      <c r="D19" s="27"/>
    </row>
    <row r="20" spans="1:4" ht="14.25" customHeight="1">
      <c r="A20" s="55" t="s">
        <v>39</v>
      </c>
      <c r="B20" s="56"/>
      <c r="C20" s="56"/>
      <c r="D20" s="56"/>
    </row>
    <row r="21" spans="1:4" ht="14.25" customHeight="1">
      <c r="A21" s="29" t="s">
        <v>24</v>
      </c>
      <c r="B21" s="30" t="s">
        <v>25</v>
      </c>
      <c r="C21" s="31" t="s">
        <v>26</v>
      </c>
      <c r="D21" s="32" t="s">
        <v>27</v>
      </c>
    </row>
    <row r="22" spans="1:4" ht="14.25" customHeight="1">
      <c r="A22" s="19">
        <v>1</v>
      </c>
      <c r="B22" s="20" t="s">
        <v>40</v>
      </c>
      <c r="C22" s="25" t="s">
        <v>78</v>
      </c>
      <c r="D22" s="22"/>
    </row>
    <row r="23" spans="1:4" ht="14.25" customHeight="1">
      <c r="A23" s="19">
        <v>2</v>
      </c>
      <c r="B23" s="20" t="s">
        <v>41</v>
      </c>
      <c r="C23" s="25" t="s">
        <v>78</v>
      </c>
      <c r="D23" s="22"/>
    </row>
    <row r="24" spans="1:4" ht="14.25" customHeight="1">
      <c r="A24" s="19">
        <v>3</v>
      </c>
      <c r="B24" s="20" t="s">
        <v>42</v>
      </c>
      <c r="C24" s="25"/>
      <c r="D24" s="22" t="s">
        <v>78</v>
      </c>
    </row>
    <row r="25" spans="1:4" ht="14.25" customHeight="1">
      <c r="A25" s="19">
        <v>4</v>
      </c>
      <c r="B25" s="20" t="s">
        <v>43</v>
      </c>
      <c r="C25" s="25" t="s">
        <v>78</v>
      </c>
      <c r="D25" s="22"/>
    </row>
    <row r="26" spans="1:4" ht="14.25" customHeight="1">
      <c r="A26" s="23">
        <v>5</v>
      </c>
      <c r="B26" s="24" t="s">
        <v>44</v>
      </c>
      <c r="C26" s="25" t="s">
        <v>78</v>
      </c>
      <c r="D26" s="33"/>
    </row>
    <row r="27" spans="1:4" ht="14.25" customHeight="1">
      <c r="A27" s="49" t="s">
        <v>37</v>
      </c>
      <c r="B27" s="45"/>
      <c r="C27" s="27">
        <f>COUNTA('M. LISTA DE COMPROBACION RF006'!$C$22:$C$26)</f>
        <v>4</v>
      </c>
      <c r="D27" s="27">
        <f>COUNTA('M. LISTA DE COMPROBACION RF006'!$D$22:$D$26)</f>
        <v>1</v>
      </c>
    </row>
    <row r="28" spans="1:4" ht="14.25" customHeight="1">
      <c r="A28" s="49" t="s">
        <v>38</v>
      </c>
      <c r="B28" s="45"/>
      <c r="C28" s="28">
        <f t="shared" ref="C28:D28" si="1">C27/5</f>
        <v>0.8</v>
      </c>
      <c r="D28" s="28">
        <f t="shared" si="1"/>
        <v>0.2</v>
      </c>
    </row>
    <row r="29" spans="1:4" ht="14.25" customHeight="1">
      <c r="A29" s="26"/>
      <c r="B29" s="26"/>
      <c r="C29" s="28"/>
      <c r="D29" s="27"/>
    </row>
    <row r="30" spans="1:4" ht="14.25" customHeight="1">
      <c r="A30" s="54" t="s">
        <v>45</v>
      </c>
      <c r="B30" s="45"/>
      <c r="C30" s="45"/>
      <c r="D30" s="45"/>
    </row>
    <row r="31" spans="1:4" ht="14.25" customHeight="1">
      <c r="A31" s="29" t="s">
        <v>24</v>
      </c>
      <c r="B31" s="30" t="s">
        <v>25</v>
      </c>
      <c r="C31" s="31" t="s">
        <v>26</v>
      </c>
      <c r="D31" s="32" t="s">
        <v>27</v>
      </c>
    </row>
    <row r="32" spans="1:4" ht="14.25" customHeight="1">
      <c r="A32" s="19">
        <v>1</v>
      </c>
      <c r="B32" s="20" t="s">
        <v>46</v>
      </c>
      <c r="C32" s="25"/>
      <c r="D32" s="25" t="s">
        <v>78</v>
      </c>
    </row>
    <row r="33" spans="1:4" ht="14.25" customHeight="1">
      <c r="A33" s="19">
        <v>2</v>
      </c>
      <c r="B33" s="20" t="s">
        <v>47</v>
      </c>
      <c r="C33" s="25"/>
      <c r="D33" s="25" t="s">
        <v>78</v>
      </c>
    </row>
    <row r="34" spans="1:4" ht="14.25" customHeight="1">
      <c r="A34" s="23">
        <v>3</v>
      </c>
      <c r="B34" s="24" t="s">
        <v>48</v>
      </c>
      <c r="C34" s="25" t="s">
        <v>78</v>
      </c>
      <c r="D34" s="25"/>
    </row>
    <row r="35" spans="1:4" ht="14.25" customHeight="1">
      <c r="A35" s="49" t="s">
        <v>37</v>
      </c>
      <c r="B35" s="45"/>
      <c r="C35" s="8">
        <f>COUNTA('M. LISTA DE COMPROBACION RF006'!$C$32:$C$34)</f>
        <v>1</v>
      </c>
      <c r="D35" s="8">
        <f>COUNTA('M. LISTA DE COMPROBACION RF006'!$D$32:$D$34)</f>
        <v>2</v>
      </c>
    </row>
    <row r="36" spans="1:4" ht="14.25" customHeight="1">
      <c r="A36" s="49" t="s">
        <v>38</v>
      </c>
      <c r="B36" s="45"/>
      <c r="C36" s="28">
        <f t="shared" ref="C36:D36" si="2">C35/3</f>
        <v>0.33333333333333331</v>
      </c>
      <c r="D36" s="28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50" t="s">
        <v>49</v>
      </c>
      <c r="B40" s="45"/>
      <c r="C40" s="45"/>
    </row>
    <row r="41" spans="1:4" ht="30" customHeight="1">
      <c r="B41" s="13" t="s">
        <v>50</v>
      </c>
      <c r="C41" s="27"/>
    </row>
    <row r="42" spans="1:4" ht="30" customHeight="1">
      <c r="B42" s="13" t="s">
        <v>39</v>
      </c>
      <c r="C42" s="27"/>
    </row>
    <row r="43" spans="1:4" ht="30" customHeight="1">
      <c r="B43" s="13" t="s">
        <v>45</v>
      </c>
      <c r="C43" s="27"/>
    </row>
    <row r="44" spans="1:4" ht="14.25" customHeight="1">
      <c r="C44" s="27"/>
    </row>
    <row r="45" spans="1:4" ht="14.25" customHeight="1">
      <c r="C45" s="27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3" operator="containsText" text="X">
      <formula>NOT(ISERROR(SEARCH(("X"),(C8))))</formula>
    </cfRule>
    <cfRule type="containsText" dxfId="5" priority="4" operator="containsText" text="X">
      <formula>NOT(ISERROR(SEARCH(("X"),(C8))))</formula>
    </cfRule>
    <cfRule type="containsText" dxfId="4" priority="5" operator="containsText" text="X">
      <formula>NOT(ISERROR(SEARCH(("X"),(C8))))</formula>
    </cfRule>
  </conditionalFormatting>
  <conditionalFormatting sqref="C22:D26">
    <cfRule type="containsText" dxfId="3" priority="6" operator="containsText" text="X">
      <formula>NOT(ISERROR(SEARCH(("X"),(C22))))</formula>
    </cfRule>
    <cfRule type="containsText" dxfId="2" priority="7" operator="containsText" text="X">
      <formula>NOT(ISERROR(SEARCH(("X"),(C22))))</formula>
    </cfRule>
  </conditionalFormatting>
  <conditionalFormatting sqref="C32:D34 C8:D16 C22:C26">
    <cfRule type="containsText" dxfId="1" priority="2" operator="containsText" text="X">
      <formula>NOT(ISERROR(SEARCH(("X"),(C8))))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6E64-99B4-43FB-9D6A-54903047466D}">
  <dimension ref="A1:B7"/>
  <sheetViews>
    <sheetView workbookViewId="0">
      <selection activeCell="B4" sqref="B4"/>
    </sheetView>
  </sheetViews>
  <sheetFormatPr defaultRowHeight="14.5"/>
  <cols>
    <col min="1" max="1" width="48.36328125" customWidth="1"/>
    <col min="2" max="2" width="47.26953125" customWidth="1"/>
  </cols>
  <sheetData>
    <row r="1" spans="1:2">
      <c r="A1" s="34" t="s">
        <v>51</v>
      </c>
      <c r="B1" s="34" t="s">
        <v>52</v>
      </c>
    </row>
    <row r="2" spans="1:2" ht="49.5" customHeight="1">
      <c r="A2" s="24" t="s">
        <v>53</v>
      </c>
      <c r="B2" s="24" t="s">
        <v>54</v>
      </c>
    </row>
    <row r="3" spans="1:2" ht="35" customHeight="1">
      <c r="A3" t="s">
        <v>83</v>
      </c>
      <c r="B3" t="s">
        <v>84</v>
      </c>
    </row>
    <row r="4" spans="1:2" ht="41" customHeight="1">
      <c r="A4" s="58" t="s">
        <v>68</v>
      </c>
      <c r="B4" s="58" t="s">
        <v>72</v>
      </c>
    </row>
    <row r="5" spans="1:2" ht="34" customHeight="1">
      <c r="A5" s="58" t="s">
        <v>69</v>
      </c>
      <c r="B5" s="58" t="s">
        <v>73</v>
      </c>
    </row>
    <row r="6" spans="1:2" ht="40" customHeight="1">
      <c r="A6" s="58" t="s">
        <v>70</v>
      </c>
      <c r="B6" s="58" t="s">
        <v>74</v>
      </c>
    </row>
    <row r="7" spans="1:2">
      <c r="A7" s="58" t="s">
        <v>71</v>
      </c>
      <c r="B7" s="58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sqref="A1:B6"/>
    </sheetView>
  </sheetViews>
  <sheetFormatPr defaultColWidth="14.453125" defaultRowHeight="15" customHeight="1"/>
  <cols>
    <col min="1" max="1" width="53.08984375" customWidth="1"/>
    <col min="2" max="2" width="57.26953125" customWidth="1"/>
    <col min="3" max="26" width="10.7265625" customWidth="1"/>
  </cols>
  <sheetData>
    <row r="1" spans="1:2" ht="14.25" customHeight="1">
      <c r="A1" s="34" t="s">
        <v>51</v>
      </c>
      <c r="B1" s="34" t="s">
        <v>52</v>
      </c>
    </row>
    <row r="2" spans="1:2" ht="14.25" customHeight="1">
      <c r="A2" s="24" t="s">
        <v>53</v>
      </c>
      <c r="B2" s="24" t="s">
        <v>54</v>
      </c>
    </row>
    <row r="3" spans="1:2" ht="14.25" customHeight="1">
      <c r="A3" s="58" t="s">
        <v>68</v>
      </c>
      <c r="B3" s="58" t="s">
        <v>72</v>
      </c>
    </row>
    <row r="4" spans="1:2" ht="14.25" customHeight="1">
      <c r="A4" s="58" t="s">
        <v>69</v>
      </c>
      <c r="B4" s="58" t="s">
        <v>73</v>
      </c>
    </row>
    <row r="5" spans="1:2" ht="14.25" customHeight="1">
      <c r="A5" s="58" t="s">
        <v>70</v>
      </c>
      <c r="B5" s="58" t="s">
        <v>74</v>
      </c>
    </row>
    <row r="6" spans="1:2" ht="14.25" customHeight="1">
      <c r="A6" s="58" t="s">
        <v>71</v>
      </c>
      <c r="B6" s="58" t="s">
        <v>75</v>
      </c>
    </row>
    <row r="7" spans="1:2" ht="14.25" customHeight="1">
      <c r="A7" s="57"/>
      <c r="B7" s="57"/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spans="1:1" ht="14.25" customHeight="1"/>
    <row r="18" spans="1:1" ht="14.25" customHeight="1"/>
    <row r="19" spans="1:1" ht="14.25" customHeight="1"/>
    <row r="20" spans="1:1" ht="14.25" customHeight="1"/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Matriz Ckeck LIst</vt:lpstr>
      <vt:lpstr>M LISTA DE COMPROBACIO RF004</vt:lpstr>
      <vt:lpstr>M. LISTA DE COMPROBACION RF006</vt:lpstr>
      <vt:lpstr>RECOMENDACIONES - RF - 002</vt:lpstr>
      <vt:lpstr>RECOMENDACIONES - RF - 006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Jhordy Marcillo</cp:lastModifiedBy>
  <dcterms:created xsi:type="dcterms:W3CDTF">2025-11-06T12:19:23Z</dcterms:created>
  <dcterms:modified xsi:type="dcterms:W3CDTF">2025-11-06T13:28:06Z</dcterms:modified>
</cp:coreProperties>
</file>