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cuments\ESPE\6to 7mo\Analisis y diseño\27837_G5_ADS\Primer Parcial\Examen\"/>
    </mc:Choice>
  </mc:AlternateContent>
  <xr:revisionPtr revIDLastSave="0" documentId="8_{C91EB1F6-B0A2-48AB-9C05-85A72C29394F}" xr6:coauthVersionLast="47" xr6:coauthVersionMax="47" xr10:uidLastSave="{00000000-0000-0000-0000-000000000000}"/>
  <bookViews>
    <workbookView xWindow="12710" yWindow="0" windowWidth="12980" windowHeight="16090" firstSheet="6" activeTab="6" xr2:uid="{00000000-000D-0000-FFFF-FFFF00000000}"/>
  </bookViews>
  <sheets>
    <sheet name="Matriz Ckeck LIst" sheetId="1" r:id="rId1"/>
    <sheet name="M LISTA DE COMPROBACIO RF002" sheetId="10" r:id="rId2"/>
    <sheet name="M LISTA DE COMPROBACIO RF004" sheetId="6" r:id="rId3"/>
    <sheet name="M LISTA DE COMPROBACIO RF006" sheetId="9" r:id="rId4"/>
    <sheet name="RECOMENDACIONES - RF - 002" sheetId="7" r:id="rId5"/>
    <sheet name="RECOMENDACIONES - RF - 004" sheetId="11" r:id="rId6"/>
    <sheet name="RECOMENDACIONES - RF - 006" sheetId="5" r:id="rId7"/>
  </sheets>
  <calcPr calcId="191029"/>
</workbook>
</file>

<file path=xl/calcChain.xml><?xml version="1.0" encoding="utf-8"?>
<calcChain xmlns="http://schemas.openxmlformats.org/spreadsheetml/2006/main">
  <c r="C36" i="10" l="1"/>
  <c r="D35" i="10"/>
  <c r="D36" i="10" s="1"/>
  <c r="C35" i="10"/>
  <c r="C28" i="10"/>
  <c r="D27" i="10"/>
  <c r="D28" i="10" s="1"/>
  <c r="C27" i="10"/>
  <c r="D17" i="10"/>
  <c r="D18" i="10" s="1"/>
  <c r="C17" i="10"/>
  <c r="C18" i="10" s="1"/>
  <c r="D35" i="9"/>
  <c r="D36" i="9" s="1"/>
  <c r="C35" i="9"/>
  <c r="C36" i="9" s="1"/>
  <c r="D27" i="9"/>
  <c r="D28" i="9" s="1"/>
  <c r="C27" i="9"/>
  <c r="C28" i="9" s="1"/>
  <c r="D17" i="9"/>
  <c r="D18" i="9" s="1"/>
  <c r="C17" i="9"/>
  <c r="C18" i="9" s="1"/>
  <c r="D35" i="6"/>
  <c r="D36" i="6" s="1"/>
  <c r="C35" i="6"/>
  <c r="C36" i="6" s="1"/>
  <c r="D27" i="6"/>
  <c r="D28" i="6" s="1"/>
  <c r="C27" i="6"/>
  <c r="C28" i="6" s="1"/>
  <c r="D17" i="6"/>
  <c r="D18" i="6" s="1"/>
  <c r="C17" i="6"/>
  <c r="C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1C025CB5-99FD-4BC7-8EEC-43E2067C8564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H9" authorId="0" shapeId="0" xr:uid="{66E4511A-8E10-4464-9A3A-B3A294A77497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6429DEA4-3FDA-4431-AA29-A28DC8245A3A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6CD82CA9-0B11-4DA6-B4D2-F55B6061EBF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DAE382DE-54CD-42D1-A6AA-0F3265B4AE09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63CAA7D6-937F-4B1B-8B59-F10FB7EF8952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66DA6E57-2EAF-49D4-A7FF-FDD7FB22FB98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99A019FB-AC11-447F-8A32-701630F6F0C5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12DE5C7B-A611-4004-AE7A-06D21D9445D8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41497F91-F029-412C-B013-E3E80B658EB7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C7285B2B-A8FA-4CC9-9D36-2075B6BC6C4D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5C2B5D7A-08F1-49CE-B682-DC64D3F6DE9B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633BBFEF-17CB-4796-8769-EC9D2EFC9A3C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D4F4BCD0-C07D-4E1F-A44E-7E48FDD0185D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81C44A56-FEC6-4D72-80E3-D1E561FD575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8133D039-1DFF-47C2-B8B5-99FF8F2C2D7D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E059A53E-278B-4C6A-BA29-DA9C0673EFAF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E8400B1F-F2A0-4F59-8E6E-AC89C2BBB49B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4620866E-C977-475E-A1E6-DE73E097D42C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944EEE48-21C1-4648-A3BC-941D1BA82FBF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602779AE-B898-475E-B5BE-6F9DD9160C7D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EC882EA-9E30-4957-B579-8B1638731BAA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D36A10F9-8B4C-4E8B-AB63-B7EC4DB47E73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62E1F87C-8048-4E6D-921E-11168D43F483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B9EF4F1F-D7A9-40D0-B7B9-D6539D9E71AF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36F5040F-0626-400D-8ADF-8C438CEB97F1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F90F3227-473A-41D9-9355-0C2D1F0E1F18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B01CB8E3-17F5-4C9B-AF22-8E26D0591605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790505D-124D-4C55-9CBC-2B36532EC161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8F75640F-7197-46F5-9F1A-4BC8286E8EF7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8081C194-5657-4BF6-AE83-4A37B730BFD2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A14" authorId="0" shapeId="0" xr:uid="{144C9998-FC8A-49EC-8AEF-3EA39DD88CC7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A15" authorId="0" shapeId="0" xr:uid="{FF8D76E7-71A1-4262-B095-A0081D208333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A16" authorId="0" shapeId="0" xr:uid="{8E059388-4CF5-46EA-B5AA-396945C55029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A17" authorId="0" shapeId="0" xr:uid="{0C58544A-60E1-40EE-8557-B91158805A54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</commentList>
</comments>
</file>

<file path=xl/sharedStrings.xml><?xml version="1.0" encoding="utf-8"?>
<sst xmlns="http://schemas.openxmlformats.org/spreadsheetml/2006/main" count="313" uniqueCount="89">
  <si>
    <t>MATRIZ PARA COMPROBACIÓN REQUERIMIENTOS DE CALIDAD DE PROYECTO ACADEMICO</t>
  </si>
  <si>
    <t>SISTEMA:</t>
  </si>
  <si>
    <t>SISTEMA DE GESTION DE CRIANZA DE CONEJOS (Hoptolt)</t>
  </si>
  <si>
    <t>Requerimientos  Funcionales</t>
  </si>
  <si>
    <t>Nº</t>
  </si>
  <si>
    <t>CRITERIOS DE CALIDAD (Documento/Requerimientos)</t>
  </si>
  <si>
    <t>Status
Nivel de Acuerdo</t>
  </si>
  <si>
    <t>Agreed</t>
  </si>
  <si>
    <t>OK</t>
  </si>
  <si>
    <t>Ranked</t>
  </si>
  <si>
    <t>Unambiguos</t>
  </si>
  <si>
    <t>Valid and up-to date</t>
  </si>
  <si>
    <t>NOK</t>
  </si>
  <si>
    <t>Correct</t>
  </si>
  <si>
    <t>Consisten</t>
  </si>
  <si>
    <t>Verifiable</t>
  </si>
  <si>
    <t>Realizable</t>
  </si>
  <si>
    <t>Traceable</t>
  </si>
  <si>
    <t>Complete</t>
  </si>
  <si>
    <t>Understandability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</si>
  <si>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</si>
  <si>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</si>
  <si>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</si>
  <si>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</si>
  <si>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</si>
  <si>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</si>
  <si>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</si>
  <si>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</si>
  <si>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</si>
  <si>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</si>
  <si>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</si>
  <si>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</si>
  <si>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</si>
  <si>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</si>
  <si>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</si>
  <si>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</si>
  <si>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</si>
  <si>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</si>
  <si>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</si>
  <si>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</si>
  <si>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</si>
  <si>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</si>
  <si>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</si>
  <si>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</si>
  <si>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</si>
  <si>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</si>
  <si>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</si>
  <si>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</si>
  <si>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</si>
  <si>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</si>
  <si>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</si>
  <si>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</si>
  <si>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</si>
  <si>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</si>
  <si>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</si>
  <si>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RF - 004  Generar reporte de pagos</t>
  </si>
  <si>
    <t>RF - 002 Ingresar Información</t>
  </si>
  <si>
    <t>RF - 006 Eliminar Información</t>
  </si>
  <si>
    <t xml:space="preserve">El requisito se pondera por importancia, teniendo filas como "Importacia" o "Urgencia" lo que demuestra que si esta clasificado por importancia </t>
  </si>
  <si>
    <t>Se comprende de manera clara a lo que tiene que referirse con el caso de uso de eliminar información, no tiene ambiguedades ni dobles interpretaciones</t>
  </si>
  <si>
    <t>La información correspondiente ha sido añadida teniendo en cuenta el flujo normal y lo que debe de tener este caso de uso.</t>
  </si>
  <si>
    <t>Las expectativas del usuario no se ven completamente reflejadas, además tiene términos no adecuados hacia el usuario como "BD"</t>
  </si>
  <si>
    <t xml:space="preserve">No tiene contradicciones, se refleja calramente que se quiere eliminar información asociada a un usuario y esto es consistente a lo largo del requisito funcional </t>
  </si>
  <si>
    <t>No se puede verificar si este requisito fue implementado ni mucho menos con un esfuerzo razonable, entonces no cumple</t>
  </si>
  <si>
    <t xml:space="preserve">No puede ser implementado ya que no se demuestra una matriz de costos o de tiempo por lo cual no se puede saber si es que puede o no puede ser implementado </t>
  </si>
  <si>
    <t>Trata los asuntos relevantes con respecto al requisito funcional, lo que quiere decir este requisito y además el flujo normal y excepcional que puede tener</t>
  </si>
  <si>
    <t>Los interesados pueden estar involucrados en todo el tiempo con respecto a este requisito funcional</t>
  </si>
  <si>
    <t>En este caso, y con las herramientas disponibles no se puede asegurar que el requisito haya sido acordado y que todos los interesados están de acuerdo con este requisito.</t>
  </si>
  <si>
    <t>¿Se han definido y concretado todas las expectativas de los involucrados?</t>
  </si>
  <si>
    <t>¿Se puede verificar que este requisito es verificable demostrando su esfuerzo razonable?</t>
  </si>
  <si>
    <t>¿El requisito demuestra que puede ser identificado y completado en las condiciones actuales en las que se encuentra?</t>
  </si>
  <si>
    <t>Reflejar las expectativas del usuario, que es lo que desea y a donde va orientado el deseo con respecto a este requisito del usuario en cuestion</t>
  </si>
  <si>
    <t>Reflejar los esfuerzos del equipo y de los interesados para hacer que este requisito se pueda verificar con todos los interesados y también con los integrantes del equipo</t>
  </si>
  <si>
    <t>Explicar o demostrar que este requisito funcional puede ser completado demostrando una matriz de costos, o de tiempo que tomaría implementar por completo este requisito</t>
  </si>
  <si>
    <t>RF - 006 Eliminar Informacion</t>
  </si>
  <si>
    <t>Jhordy Marcillo</t>
  </si>
  <si>
    <t>x</t>
  </si>
  <si>
    <t>La información con respecta a generar reportes de pago ha sido incorporada correctamente, se tiene que debe de ir en la tabla y la extensión del archivo que se va a generar</t>
  </si>
  <si>
    <t xml:space="preserve">Las expectativas del usuario se ven reflejadas correctamente al mostrar lo que se desea generar  con que parametros se puede generare </t>
  </si>
  <si>
    <t xml:space="preserve">No tiene contradicciones, se refleja calramente que se quiere generar con la información que se expone en el requisito </t>
  </si>
  <si>
    <t>RF - 004 Generar reportes</t>
  </si>
  <si>
    <t>¿El requisito tiene una sola interpretación no importando quien lo lea?</t>
  </si>
  <si>
    <t xml:space="preserve">Poner solamente un requisito en la descripción ya que en este requisito ponen otro posible requisito, el "Registro de Pagos", lo cual sería mejor poner separados para una mejor interpretación </t>
  </si>
  <si>
    <t>No se puede entender bien a lo que se refiere con cambiar los parámetros, que parámetros se puede, se puede eliminar el parámetro anterior. Además mezcla con otro caso de uso, que es el "Registro de Pagos"</t>
  </si>
  <si>
    <t>Se comprende de manera clara a lo que tiene que referirse con el caso de uso de generar reporte de pagos, la información, no tiene ambiguedades ni dobles interpretaciones</t>
  </si>
  <si>
    <t>La información con respecta al ingreso de información se ha incorporaoa correctamente.</t>
  </si>
  <si>
    <t>Las expectativas del usuario se ven reflejadas correctamente al mostrar lo que se desea hacer al momento de agregar información con los atributos correspondientes a este</t>
  </si>
  <si>
    <t>No tiene contradicciones, se refleja calramente que se quiere hacer al momento de ingresar información</t>
  </si>
  <si>
    <t>Los requisitos, en la pagina 35 del documento, demuestran los requisitos funcionales y los no funcionales que estan asociados a los diferentes objetivos, ademas puede visualizar si es que se cambia un requisito, afecta a los demás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</si>
</sst>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8" fillId="0" borderId="14" xfId="0" applyFont="1" applyBorder="1" applyAlignment="1">
      <alignment wrapText="1"/>
    </xf>
    <xf numFmtId="0" fontId="0" fillId="0" borderId="17" xfId="0" applyBorder="1"/>
    <xf numFmtId="0" fontId="0" fillId="0" borderId="0" xfId="0" applyBorder="1"/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Hoja 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Hoja 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Hoja 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DE LISTA DE COMPROBACION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DE LISTA DE COMPROBACION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DE LISTA DE COMPROBACION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AAB-4B07-A9CA-3D1DD5C059C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AAB-4B07-A9CA-3D1DD5C059C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AAB-4B07-A9CA-3D1DD5C059C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 LISTA DE COMPROBACIO RF002'!$B$41:$B$43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 LISTA DE COMPROBACIO RF002'!$C$41:$C$43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AAAB-4B07-A9CA-3D1DD5C05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264-4BB6-921D-45751A7CC5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264-4BB6-921D-45751A7CC55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264-4BB6-921D-45751A7CC55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 LISTA DE COMPROBACIO RF004'!$B$41:$B$43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 LISTA DE COMPROBACIO RF004'!$C$41:$C$43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264-4BB6-921D-45751A7C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0F1-4F87-8773-FA3EC96189B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0F1-4F87-8773-FA3EC96189B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0F1-4F87-8773-FA3EC96189B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 LISTA DE COMPROBACIO RF006'!$B$41:$B$43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 LISTA DE COMPROBACIO RF006'!$C$41:$C$43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90F1-4F87-8773-FA3EC9618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F151D-AF61-424F-9564-3E2F48629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C9217-DDF5-466A-BEAB-DD18E6FFF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56E99-FB7F-471D-BE57-88557AD14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D1E1C7-9BBA-407D-A7AA-F5FDFE1D96D2}" name="Table_1514" displayName="Table_1514" ref="A7:D16">
  <tableColumns count="4">
    <tableColumn id="1" xr3:uid="{8CF4CBAC-D99F-4ED0-9A90-4B5949B46897}" name="No."/>
    <tableColumn id="2" xr3:uid="{0B6783E9-C10B-4D34-8B69-F29BAA5F1E4B}" name="Pregunta"/>
    <tableColumn id="3" xr3:uid="{27E1E89B-D8FA-4F69-AF96-4E598FDB3665}" name="SI"/>
    <tableColumn id="4" xr3:uid="{23C75A82-B73A-413C-A947-915101F1EDCE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4AFEDC-BDFD-4644-9EF2-363595B52137}" name="Table_2615" displayName="Table_2615" ref="A21:D26">
  <tableColumns count="4">
    <tableColumn id="1" xr3:uid="{0172B183-527B-42B7-A07A-CECD0CB8C0DB}" name="No."/>
    <tableColumn id="2" xr3:uid="{5F93DA14-111F-4955-B4E0-0B95A08720F5}" name="Pregunta"/>
    <tableColumn id="3" xr3:uid="{95173AA1-11B5-4DF2-91F7-033C7B81A7E7}" name="SI"/>
    <tableColumn id="4" xr3:uid="{07CF2DCB-5DB4-4D6D-A6B0-7BFAB25FFCAB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9A7C5D-3A72-4A7D-96E7-132E20250F8A}" name="Table_3716" displayName="Table_3716" ref="A31:D34">
  <tableColumns count="4">
    <tableColumn id="1" xr3:uid="{DD7C4797-A69A-4B22-A628-B7D25C8FE5AD}" name="No."/>
    <tableColumn id="2" xr3:uid="{A02F8F0E-9F93-4D3D-AB88-6FBBCC73AB66}" name="Pregunta"/>
    <tableColumn id="3" xr3:uid="{5C7D5620-13A5-4619-8CAC-9DF67B4AF58C}" name="SI"/>
    <tableColumn id="4" xr3:uid="{BF82543F-5708-40DF-AD35-76908BB16BCF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CAC00-8049-425A-87F1-B9B8D9EE19D1}" name="Table_15" displayName="Table_15" ref="A7:D16">
  <tableColumns count="4">
    <tableColumn id="1" xr3:uid="{908CD24F-F972-4E8C-9093-036389B2F812}" name="No."/>
    <tableColumn id="2" xr3:uid="{E883D85B-A454-4DC9-B879-A249814B44AB}" name="Pregunta"/>
    <tableColumn id="3" xr3:uid="{F12C2DDF-4567-4F25-85DE-971C3B8B76FA}" name="SI"/>
    <tableColumn id="4" xr3:uid="{EFA3D534-BFC1-4949-AC8A-B6A0B26BF7F5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2C9767-3C89-46CF-96F4-8B186FC8E1D7}" name="Table_26" displayName="Table_26" ref="A21:D26">
  <tableColumns count="4">
    <tableColumn id="1" xr3:uid="{4E129714-F273-4DD6-8B69-83A22246670D}" name="No."/>
    <tableColumn id="2" xr3:uid="{8CCEBD61-DC49-459B-AAAB-5EFB145DBB88}" name="Pregunta"/>
    <tableColumn id="3" xr3:uid="{41100263-1E69-408B-90B1-C87A3E9E56A4}" name="SI"/>
    <tableColumn id="4" xr3:uid="{413EC71E-ACD6-45FE-886D-C453F7D85C85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103A9E-8AA7-41FB-83B3-E78338C57B28}" name="Table_37" displayName="Table_37" ref="A31:D34">
  <tableColumns count="4">
    <tableColumn id="1" xr3:uid="{35F19E4A-729D-4D39-9A5F-94819D689B9E}" name="No."/>
    <tableColumn id="2" xr3:uid="{83D43219-6B29-48E7-845A-B12E6DB14DB5}" name="Pregunta"/>
    <tableColumn id="3" xr3:uid="{6BC9F6D1-5FCD-4E44-81BC-2EA0952B6098}" name="SI"/>
    <tableColumn id="4" xr3:uid="{4A4FFC28-4FC3-4193-BBD4-912DC0009764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F51C3E-D99B-45C7-9DA3-C3106A1A33FD}" name="Table_1511" displayName="Table_1511" ref="A7:D16">
  <tableColumns count="4">
    <tableColumn id="1" xr3:uid="{308EB0C5-AFF1-4156-8785-B0D5CB1FF7BC}" name="No."/>
    <tableColumn id="2" xr3:uid="{3DD5473A-EB07-4210-B38E-AE258DD4BA77}" name="Pregunta"/>
    <tableColumn id="3" xr3:uid="{DEA1A0A7-C688-4913-815C-32C9F373E13C}" name="SI"/>
    <tableColumn id="4" xr3:uid="{D2DAD01C-FD8D-4E6A-9624-76EAD927D73B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6EA72B-0604-4925-8C98-31822779C71C}" name="Table_2612" displayName="Table_2612" ref="A21:D26">
  <tableColumns count="4">
    <tableColumn id="1" xr3:uid="{0DF78390-62CB-44B0-B592-B467B4F8C42B}" name="No."/>
    <tableColumn id="2" xr3:uid="{20131E8C-40F4-4B2A-B631-2DEDADDF423F}" name="Pregunta"/>
    <tableColumn id="3" xr3:uid="{2FA30E1F-CAAF-4AF3-B7B4-4330C39288F7}" name="SI"/>
    <tableColumn id="4" xr3:uid="{2D4F1A98-3AC0-4060-8C68-DD78C403AA80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BF43B2-281E-46E9-9962-9EAF0F2458D5}" name="Table_3713" displayName="Table_3713" ref="A31:D34">
  <tableColumns count="4">
    <tableColumn id="1" xr3:uid="{C0EA9A02-3798-4243-AC33-68119E3BA1FB}" name="No."/>
    <tableColumn id="2" xr3:uid="{F1A45830-9B10-48B3-B7EE-730D76CBE054}" name="Pregunta"/>
    <tableColumn id="3" xr3:uid="{31E7061E-B8A9-4D19-90EF-1B9D954A6A99}" name="SI"/>
    <tableColumn id="4" xr3:uid="{89ECF9F3-64A0-4A6C-BDDE-64133BF92C03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3" zoomScale="70" zoomScaleNormal="70" workbookViewId="0">
      <selection activeCell="K16" sqref="K16"/>
    </sheetView>
  </sheetViews>
  <sheetFormatPr defaultColWidth="14.453125" defaultRowHeight="15" customHeight="1"/>
  <cols>
    <col min="1" max="1" width="4.54296875" customWidth="1"/>
    <col min="2" max="2" width="4.453125" customWidth="1"/>
    <col min="3" max="3" width="3.7265625" customWidth="1"/>
    <col min="4" max="4" width="34.81640625" customWidth="1"/>
    <col min="5" max="5" width="9.7265625" customWidth="1"/>
    <col min="6" max="6" width="42.7265625" customWidth="1"/>
    <col min="7" max="7" width="10.08984375" customWidth="1"/>
    <col min="8" max="8" width="4.7265625" hidden="1" customWidth="1"/>
    <col min="9" max="9" width="42.7265625" customWidth="1"/>
    <col min="10" max="10" width="9.81640625" customWidth="1"/>
    <col min="11" max="11" width="39.54296875" customWidth="1"/>
    <col min="12" max="27" width="11.453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4" t="s">
        <v>0</v>
      </c>
      <c r="D3" s="45"/>
      <c r="E3" s="45"/>
      <c r="F3" s="45"/>
      <c r="G3" s="45"/>
      <c r="H3" s="45"/>
      <c r="I3" s="45"/>
      <c r="J3" s="45"/>
      <c r="K3" s="45"/>
    </row>
    <row r="4" spans="2:11" ht="30" customHeight="1">
      <c r="C4" s="45"/>
      <c r="D4" s="45"/>
      <c r="E4" s="45"/>
      <c r="F4" s="45"/>
      <c r="G4" s="45"/>
      <c r="H4" s="45"/>
      <c r="I4" s="45"/>
      <c r="J4" s="45"/>
      <c r="K4" s="45"/>
    </row>
    <row r="5" spans="2:11" ht="30" customHeight="1">
      <c r="C5" s="2"/>
      <c r="D5" s="3" t="s">
        <v>1</v>
      </c>
      <c r="E5" s="46" t="s">
        <v>2</v>
      </c>
      <c r="F5" s="45"/>
      <c r="G5" s="45"/>
      <c r="H5" s="45"/>
      <c r="I5" s="45"/>
      <c r="J5" s="45"/>
      <c r="K5" s="45"/>
    </row>
    <row r="6" spans="2:11" ht="55.5" customHeight="1">
      <c r="C6" s="1"/>
      <c r="F6" s="47" t="s">
        <v>3</v>
      </c>
      <c r="G6" s="48"/>
      <c r="H6" s="48"/>
      <c r="I6" s="48"/>
      <c r="J6" s="48"/>
      <c r="K6" s="36"/>
    </row>
    <row r="7" spans="2:11" ht="45" customHeight="1">
      <c r="B7" s="37" t="s">
        <v>4</v>
      </c>
      <c r="C7" s="39" t="s">
        <v>5</v>
      </c>
      <c r="D7" s="40"/>
      <c r="E7" s="43" t="s">
        <v>6</v>
      </c>
      <c r="F7" s="37" t="s">
        <v>56</v>
      </c>
      <c r="G7" s="43" t="s">
        <v>6</v>
      </c>
      <c r="H7" s="4">
        <v>100</v>
      </c>
      <c r="I7" s="37" t="s">
        <v>55</v>
      </c>
      <c r="J7" s="43" t="s">
        <v>6</v>
      </c>
      <c r="K7" s="37" t="s">
        <v>57</v>
      </c>
    </row>
    <row r="8" spans="2:11" ht="60" customHeight="1">
      <c r="B8" s="38"/>
      <c r="C8" s="41"/>
      <c r="D8" s="42"/>
      <c r="E8" s="38"/>
      <c r="F8" s="38"/>
      <c r="G8" s="38"/>
      <c r="H8" s="4">
        <v>0</v>
      </c>
      <c r="I8" s="38"/>
      <c r="J8" s="38"/>
      <c r="K8" s="38"/>
    </row>
    <row r="9" spans="2:11" ht="82.5" customHeight="1">
      <c r="B9" s="5">
        <v>1</v>
      </c>
      <c r="C9" s="35" t="s">
        <v>7</v>
      </c>
      <c r="D9" s="36"/>
      <c r="E9" s="11" t="s">
        <v>12</v>
      </c>
      <c r="F9" s="7" t="s">
        <v>67</v>
      </c>
      <c r="G9" s="11" t="s">
        <v>12</v>
      </c>
      <c r="H9" s="7" t="s">
        <v>67</v>
      </c>
      <c r="I9" s="7" t="s">
        <v>67</v>
      </c>
      <c r="J9" s="11" t="s">
        <v>12</v>
      </c>
      <c r="K9" s="7" t="s">
        <v>67</v>
      </c>
    </row>
    <row r="10" spans="2:11" ht="67.5" customHeight="1">
      <c r="B10" s="5">
        <v>2</v>
      </c>
      <c r="C10" s="35" t="s">
        <v>9</v>
      </c>
      <c r="D10" s="36"/>
      <c r="E10" s="6" t="s">
        <v>8</v>
      </c>
      <c r="F10" s="9" t="s">
        <v>58</v>
      </c>
      <c r="G10" s="6" t="s">
        <v>8</v>
      </c>
      <c r="I10" s="9" t="s">
        <v>58</v>
      </c>
      <c r="J10" s="6" t="s">
        <v>8</v>
      </c>
      <c r="K10" s="9" t="s">
        <v>58</v>
      </c>
    </row>
    <row r="11" spans="2:11" ht="93.5" customHeight="1">
      <c r="B11" s="5">
        <v>3</v>
      </c>
      <c r="C11" s="35" t="s">
        <v>10</v>
      </c>
      <c r="D11" s="36"/>
      <c r="E11" s="11" t="s">
        <v>12</v>
      </c>
      <c r="F11" s="9" t="s">
        <v>83</v>
      </c>
      <c r="G11" s="6" t="s">
        <v>8</v>
      </c>
      <c r="I11" s="9" t="s">
        <v>84</v>
      </c>
      <c r="J11" s="6" t="s">
        <v>8</v>
      </c>
      <c r="K11" s="9" t="s">
        <v>59</v>
      </c>
    </row>
    <row r="12" spans="2:11" ht="84" customHeight="1">
      <c r="B12" s="5">
        <v>4</v>
      </c>
      <c r="C12" s="35" t="s">
        <v>11</v>
      </c>
      <c r="D12" s="36"/>
      <c r="E12" s="6" t="s">
        <v>8</v>
      </c>
      <c r="F12" s="10" t="s">
        <v>85</v>
      </c>
      <c r="G12" s="6" t="s">
        <v>8</v>
      </c>
      <c r="I12" s="10" t="s">
        <v>77</v>
      </c>
      <c r="J12" s="6" t="s">
        <v>8</v>
      </c>
      <c r="K12" s="10" t="s">
        <v>60</v>
      </c>
    </row>
    <row r="13" spans="2:11" ht="74" customHeight="1">
      <c r="B13" s="5">
        <v>5</v>
      </c>
      <c r="C13" s="35" t="s">
        <v>13</v>
      </c>
      <c r="D13" s="36"/>
      <c r="E13" s="6" t="s">
        <v>8</v>
      </c>
      <c r="F13" s="10" t="s">
        <v>86</v>
      </c>
      <c r="G13" s="6" t="s">
        <v>8</v>
      </c>
      <c r="I13" s="10" t="s">
        <v>78</v>
      </c>
      <c r="J13" s="11" t="s">
        <v>12</v>
      </c>
      <c r="K13" s="10" t="s">
        <v>61</v>
      </c>
    </row>
    <row r="14" spans="2:11" ht="96" customHeight="1">
      <c r="B14" s="5">
        <v>6</v>
      </c>
      <c r="C14" s="35" t="s">
        <v>14</v>
      </c>
      <c r="D14" s="36"/>
      <c r="E14" s="6" t="s">
        <v>8</v>
      </c>
      <c r="F14" s="10" t="s">
        <v>87</v>
      </c>
      <c r="G14" s="6" t="s">
        <v>8</v>
      </c>
      <c r="I14" s="10" t="s">
        <v>79</v>
      </c>
      <c r="J14" s="6" t="s">
        <v>8</v>
      </c>
      <c r="K14" s="10" t="s">
        <v>62</v>
      </c>
    </row>
    <row r="15" spans="2:11" ht="58.5" customHeight="1">
      <c r="B15" s="5">
        <v>7</v>
      </c>
      <c r="C15" s="35" t="s">
        <v>15</v>
      </c>
      <c r="D15" s="36"/>
      <c r="E15" s="11" t="s">
        <v>12</v>
      </c>
      <c r="F15" s="10" t="s">
        <v>63</v>
      </c>
      <c r="G15" s="11" t="s">
        <v>12</v>
      </c>
      <c r="I15" s="10" t="s">
        <v>63</v>
      </c>
      <c r="J15" s="11" t="s">
        <v>12</v>
      </c>
      <c r="K15" s="10" t="s">
        <v>63</v>
      </c>
    </row>
    <row r="16" spans="2:11" ht="80.5" customHeight="1">
      <c r="B16" s="5">
        <v>8</v>
      </c>
      <c r="C16" s="35" t="s">
        <v>16</v>
      </c>
      <c r="D16" s="36"/>
      <c r="E16" s="11" t="s">
        <v>12</v>
      </c>
      <c r="F16" s="10" t="s">
        <v>64</v>
      </c>
      <c r="G16" s="11" t="s">
        <v>12</v>
      </c>
      <c r="I16" s="10" t="s">
        <v>64</v>
      </c>
      <c r="J16" s="11" t="s">
        <v>12</v>
      </c>
      <c r="K16" s="10" t="s">
        <v>64</v>
      </c>
    </row>
    <row r="17" spans="2:11" ht="137.5" customHeight="1">
      <c r="B17" s="5">
        <v>9</v>
      </c>
      <c r="C17" s="35" t="s">
        <v>17</v>
      </c>
      <c r="D17" s="36"/>
      <c r="E17" s="6" t="s">
        <v>8</v>
      </c>
      <c r="F17" s="12" t="s">
        <v>88</v>
      </c>
      <c r="G17" s="6" t="s">
        <v>8</v>
      </c>
      <c r="I17" s="12" t="s">
        <v>88</v>
      </c>
      <c r="J17" s="6" t="s">
        <v>8</v>
      </c>
      <c r="K17" s="12" t="s">
        <v>88</v>
      </c>
    </row>
    <row r="18" spans="2:11" ht="82" customHeight="1">
      <c r="B18" s="5">
        <v>10</v>
      </c>
      <c r="C18" s="35" t="s">
        <v>18</v>
      </c>
      <c r="D18" s="36"/>
      <c r="E18" s="6" t="s">
        <v>8</v>
      </c>
      <c r="F18" s="10" t="s">
        <v>65</v>
      </c>
      <c r="G18" s="6" t="s">
        <v>8</v>
      </c>
      <c r="I18" s="10" t="s">
        <v>65</v>
      </c>
      <c r="J18" s="6" t="s">
        <v>8</v>
      </c>
      <c r="K18" s="10" t="s">
        <v>65</v>
      </c>
    </row>
    <row r="19" spans="2:11" ht="63" customHeight="1">
      <c r="B19" s="5">
        <v>11</v>
      </c>
      <c r="C19" s="35" t="s">
        <v>19</v>
      </c>
      <c r="D19" s="36"/>
      <c r="E19" s="6" t="s">
        <v>8</v>
      </c>
      <c r="F19" s="10" t="s">
        <v>66</v>
      </c>
      <c r="G19" s="6" t="s">
        <v>8</v>
      </c>
      <c r="I19" s="10" t="s">
        <v>66</v>
      </c>
      <c r="J19" s="6" t="s">
        <v>8</v>
      </c>
      <c r="K19" s="10" t="s">
        <v>66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437C-CE65-423A-AE4D-0D0F978712A2}">
  <dimension ref="A1:Z1000"/>
  <sheetViews>
    <sheetView workbookViewId="0">
      <selection activeCell="G11" sqref="G11"/>
    </sheetView>
  </sheetViews>
  <sheetFormatPr defaultColWidth="14.453125" defaultRowHeight="15" customHeight="1"/>
  <cols>
    <col min="1" max="1" width="10.7265625" customWidth="1"/>
    <col min="2" max="2" width="34.54296875" customWidth="1"/>
    <col min="3" max="3" width="16.08984375" customWidth="1"/>
    <col min="4" max="26" width="10.7265625" customWidth="1"/>
  </cols>
  <sheetData>
    <row r="1" spans="1:26" ht="51" customHeight="1">
      <c r="A1" s="13"/>
      <c r="B1" s="14" t="s">
        <v>1</v>
      </c>
      <c r="C1" s="51"/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20</v>
      </c>
      <c r="C2" s="52">
        <v>45967</v>
      </c>
      <c r="D2" s="45"/>
    </row>
    <row r="3" spans="1:26" ht="14.25" customHeight="1">
      <c r="B3" s="15" t="s">
        <v>21</v>
      </c>
      <c r="C3" s="53" t="s">
        <v>75</v>
      </c>
      <c r="D3" s="45"/>
    </row>
    <row r="4" spans="1:26" ht="14.25" customHeight="1">
      <c r="B4" s="15" t="s">
        <v>22</v>
      </c>
      <c r="C4" s="53" t="s">
        <v>56</v>
      </c>
      <c r="D4" s="45"/>
    </row>
    <row r="5" spans="1:26" ht="14.25" customHeight="1"/>
    <row r="6" spans="1:26" ht="14.25" customHeight="1">
      <c r="A6" s="54" t="s">
        <v>23</v>
      </c>
      <c r="B6" s="45"/>
      <c r="C6" s="45"/>
      <c r="D6" s="45"/>
    </row>
    <row r="7" spans="1:26" ht="15" customHeight="1">
      <c r="A7" s="16" t="s">
        <v>24</v>
      </c>
      <c r="B7" s="17" t="s">
        <v>25</v>
      </c>
      <c r="C7" s="17" t="s">
        <v>26</v>
      </c>
      <c r="D7" s="18" t="s">
        <v>27</v>
      </c>
    </row>
    <row r="8" spans="1:26" ht="32.5" customHeight="1">
      <c r="A8" s="19">
        <v>1</v>
      </c>
      <c r="B8" s="20" t="s">
        <v>28</v>
      </c>
      <c r="C8" s="21" t="s">
        <v>76</v>
      </c>
      <c r="D8" s="22"/>
    </row>
    <row r="9" spans="1:26" ht="14.25" customHeight="1">
      <c r="A9" s="19">
        <v>2</v>
      </c>
      <c r="B9" s="20" t="s">
        <v>29</v>
      </c>
      <c r="C9" s="21"/>
      <c r="D9" s="22" t="s">
        <v>76</v>
      </c>
    </row>
    <row r="10" spans="1:26" ht="14.25" customHeight="1">
      <c r="A10" s="19">
        <v>3</v>
      </c>
      <c r="B10" s="20" t="s">
        <v>30</v>
      </c>
      <c r="C10" s="21" t="s">
        <v>76</v>
      </c>
      <c r="D10" s="22"/>
    </row>
    <row r="11" spans="1:26" ht="14.25" customHeight="1">
      <c r="A11" s="19">
        <v>4</v>
      </c>
      <c r="B11" s="20" t="s">
        <v>31</v>
      </c>
      <c r="C11" s="21" t="s">
        <v>76</v>
      </c>
      <c r="D11" s="22"/>
    </row>
    <row r="12" spans="1:26" ht="14.25" customHeight="1">
      <c r="A12" s="19">
        <v>5</v>
      </c>
      <c r="B12" s="20" t="s">
        <v>32</v>
      </c>
      <c r="C12" s="21" t="s">
        <v>76</v>
      </c>
      <c r="D12" s="22"/>
    </row>
    <row r="13" spans="1:26" ht="14.25" customHeight="1">
      <c r="A13" s="19">
        <v>6</v>
      </c>
      <c r="B13" s="20" t="s">
        <v>33</v>
      </c>
      <c r="C13" s="21" t="s">
        <v>76</v>
      </c>
      <c r="D13" s="22"/>
    </row>
    <row r="14" spans="1:26" ht="14.25" customHeight="1">
      <c r="A14" s="19">
        <v>7</v>
      </c>
      <c r="B14" s="20" t="s">
        <v>34</v>
      </c>
      <c r="C14" s="21" t="s">
        <v>76</v>
      </c>
      <c r="D14" s="22"/>
    </row>
    <row r="15" spans="1:26" ht="14.25" customHeight="1">
      <c r="A15" s="19">
        <v>8</v>
      </c>
      <c r="B15" s="20" t="s">
        <v>35</v>
      </c>
      <c r="C15" s="21" t="s">
        <v>76</v>
      </c>
      <c r="D15" s="22"/>
    </row>
    <row r="16" spans="1:26" ht="14.25" customHeight="1">
      <c r="A16" s="23">
        <v>9</v>
      </c>
      <c r="B16" s="24" t="s">
        <v>36</v>
      </c>
      <c r="C16" s="25"/>
      <c r="D16" s="25" t="s">
        <v>76</v>
      </c>
    </row>
    <row r="17" spans="1:4" ht="14.25" customHeight="1">
      <c r="A17" s="49" t="s">
        <v>37</v>
      </c>
      <c r="B17" s="45"/>
      <c r="C17" s="27">
        <f>COUNTA('M LISTA DE COMPROBACIO RF002'!$C$8:$C$16)</f>
        <v>7</v>
      </c>
      <c r="D17" s="27">
        <f>COUNTA('M LISTA DE COMPROBACIO RF002'!$D$8:$D$16)</f>
        <v>2</v>
      </c>
    </row>
    <row r="18" spans="1:4" ht="14.25" customHeight="1">
      <c r="A18" s="49" t="s">
        <v>38</v>
      </c>
      <c r="B18" s="45"/>
      <c r="C18" s="28">
        <f t="shared" ref="C18:D18" si="0">C17/9</f>
        <v>0.77777777777777779</v>
      </c>
      <c r="D18" s="28">
        <f t="shared" si="0"/>
        <v>0.22222222222222221</v>
      </c>
    </row>
    <row r="19" spans="1:4" ht="14.25" customHeight="1">
      <c r="A19" s="26"/>
      <c r="B19" s="26"/>
      <c r="C19" s="28"/>
      <c r="D19" s="27"/>
    </row>
    <row r="20" spans="1:4" ht="14.25" customHeight="1">
      <c r="A20" s="55" t="s">
        <v>39</v>
      </c>
      <c r="B20" s="56"/>
      <c r="C20" s="56"/>
      <c r="D20" s="56"/>
    </row>
    <row r="21" spans="1:4" ht="14.25" customHeight="1">
      <c r="A21" s="29" t="s">
        <v>24</v>
      </c>
      <c r="B21" s="30" t="s">
        <v>25</v>
      </c>
      <c r="C21" s="31" t="s">
        <v>26</v>
      </c>
      <c r="D21" s="32" t="s">
        <v>27</v>
      </c>
    </row>
    <row r="22" spans="1:4" ht="14.25" customHeight="1">
      <c r="A22" s="19">
        <v>1</v>
      </c>
      <c r="B22" s="20" t="s">
        <v>40</v>
      </c>
      <c r="C22" s="25" t="s">
        <v>76</v>
      </c>
      <c r="D22" s="22"/>
    </row>
    <row r="23" spans="1:4" ht="14.25" customHeight="1">
      <c r="A23" s="19">
        <v>2</v>
      </c>
      <c r="B23" s="20" t="s">
        <v>41</v>
      </c>
      <c r="C23" s="25" t="s">
        <v>76</v>
      </c>
      <c r="D23" s="22"/>
    </row>
    <row r="24" spans="1:4" ht="14.25" customHeight="1">
      <c r="A24" s="19">
        <v>3</v>
      </c>
      <c r="B24" s="20" t="s">
        <v>42</v>
      </c>
      <c r="C24" s="25"/>
      <c r="D24" s="22" t="s">
        <v>76</v>
      </c>
    </row>
    <row r="25" spans="1:4" ht="14.25" customHeight="1">
      <c r="A25" s="19">
        <v>4</v>
      </c>
      <c r="B25" s="20" t="s">
        <v>43</v>
      </c>
      <c r="C25" s="25" t="s">
        <v>76</v>
      </c>
      <c r="D25" s="22"/>
    </row>
    <row r="26" spans="1:4" ht="14.25" customHeight="1">
      <c r="A26" s="23">
        <v>5</v>
      </c>
      <c r="B26" s="24" t="s">
        <v>44</v>
      </c>
      <c r="C26" s="25" t="s">
        <v>76</v>
      </c>
      <c r="D26" s="33"/>
    </row>
    <row r="27" spans="1:4" ht="14.25" customHeight="1">
      <c r="A27" s="49" t="s">
        <v>37</v>
      </c>
      <c r="B27" s="45"/>
      <c r="C27" s="27">
        <f>COUNTA('M LISTA DE COMPROBACIO RF002'!$C$22:$C$26)</f>
        <v>4</v>
      </c>
      <c r="D27" s="27">
        <f>COUNTA('M LISTA DE COMPROBACIO RF002'!$D$22:$D$26)</f>
        <v>1</v>
      </c>
    </row>
    <row r="28" spans="1:4" ht="14.25" customHeight="1">
      <c r="A28" s="49" t="s">
        <v>38</v>
      </c>
      <c r="B28" s="45"/>
      <c r="C28" s="28">
        <f t="shared" ref="C28:D28" si="1">C27/5</f>
        <v>0.8</v>
      </c>
      <c r="D28" s="28">
        <f t="shared" si="1"/>
        <v>0.2</v>
      </c>
    </row>
    <row r="29" spans="1:4" ht="14.25" customHeight="1">
      <c r="A29" s="26"/>
      <c r="B29" s="26"/>
      <c r="C29" s="28"/>
      <c r="D29" s="27"/>
    </row>
    <row r="30" spans="1:4" ht="14.25" customHeight="1">
      <c r="A30" s="54" t="s">
        <v>45</v>
      </c>
      <c r="B30" s="45"/>
      <c r="C30" s="45"/>
      <c r="D30" s="45"/>
    </row>
    <row r="31" spans="1:4" ht="14.25" customHeight="1">
      <c r="A31" s="29" t="s">
        <v>24</v>
      </c>
      <c r="B31" s="30" t="s">
        <v>25</v>
      </c>
      <c r="C31" s="31" t="s">
        <v>26</v>
      </c>
      <c r="D31" s="32" t="s">
        <v>27</v>
      </c>
    </row>
    <row r="32" spans="1:4" ht="14.25" customHeight="1">
      <c r="A32" s="19">
        <v>1</v>
      </c>
      <c r="B32" s="20" t="s">
        <v>46</v>
      </c>
      <c r="C32" s="25"/>
      <c r="D32" s="25" t="s">
        <v>76</v>
      </c>
    </row>
    <row r="33" spans="1:4" ht="14.25" customHeight="1">
      <c r="A33" s="19">
        <v>2</v>
      </c>
      <c r="B33" s="20" t="s">
        <v>47</v>
      </c>
      <c r="C33" s="25"/>
      <c r="D33" s="25" t="s">
        <v>76</v>
      </c>
    </row>
    <row r="34" spans="1:4" ht="14.25" customHeight="1">
      <c r="A34" s="23">
        <v>3</v>
      </c>
      <c r="B34" s="24" t="s">
        <v>48</v>
      </c>
      <c r="C34" s="25" t="s">
        <v>76</v>
      </c>
      <c r="D34" s="25"/>
    </row>
    <row r="35" spans="1:4" ht="14.25" customHeight="1">
      <c r="A35" s="49" t="s">
        <v>37</v>
      </c>
      <c r="B35" s="45"/>
      <c r="C35" s="8">
        <f>COUNTA('M LISTA DE COMPROBACIO RF002'!$C$32:$C$34)</f>
        <v>1</v>
      </c>
      <c r="D35" s="8">
        <f>COUNTA('M LISTA DE COMPROBACIO RF002'!$D$32:$D$34)</f>
        <v>2</v>
      </c>
    </row>
    <row r="36" spans="1:4" ht="14.25" customHeight="1">
      <c r="A36" s="49" t="s">
        <v>38</v>
      </c>
      <c r="B36" s="45"/>
      <c r="C36" s="28">
        <f t="shared" ref="C36:D36" si="2">C35/3</f>
        <v>0.33333333333333331</v>
      </c>
      <c r="D36" s="28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50" t="s">
        <v>49</v>
      </c>
      <c r="B40" s="45"/>
      <c r="C40" s="45"/>
    </row>
    <row r="41" spans="1:4" ht="30" customHeight="1">
      <c r="B41" s="13" t="s">
        <v>50</v>
      </c>
      <c r="C41" s="27"/>
    </row>
    <row r="42" spans="1:4" ht="30" customHeight="1">
      <c r="B42" s="13" t="s">
        <v>39</v>
      </c>
      <c r="C42" s="27"/>
    </row>
    <row r="43" spans="1:4" ht="30" customHeight="1">
      <c r="B43" s="13" t="s">
        <v>45</v>
      </c>
      <c r="C43" s="27"/>
    </row>
    <row r="44" spans="1:4" ht="14.25" customHeight="1">
      <c r="C44" s="27"/>
    </row>
    <row r="45" spans="1:4" ht="14.25" customHeight="1">
      <c r="C45" s="27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93DF-1053-4D33-8E49-8DB6FB5BA4A3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10.7265625" customWidth="1"/>
    <col min="2" max="2" width="34.54296875" customWidth="1"/>
    <col min="3" max="3" width="16.08984375" customWidth="1"/>
    <col min="4" max="26" width="10.7265625" customWidth="1"/>
  </cols>
  <sheetData>
    <row r="1" spans="1:26" ht="51" customHeight="1">
      <c r="A1" s="13"/>
      <c r="B1" s="14" t="s">
        <v>1</v>
      </c>
      <c r="C1" s="51"/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20</v>
      </c>
      <c r="C2" s="52">
        <v>45967</v>
      </c>
      <c r="D2" s="45"/>
    </row>
    <row r="3" spans="1:26" ht="14.25" customHeight="1">
      <c r="B3" s="15" t="s">
        <v>21</v>
      </c>
      <c r="C3" s="53" t="s">
        <v>75</v>
      </c>
      <c r="D3" s="45"/>
    </row>
    <row r="4" spans="1:26" ht="14.25" customHeight="1">
      <c r="B4" s="15" t="s">
        <v>22</v>
      </c>
      <c r="C4" s="53" t="s">
        <v>80</v>
      </c>
      <c r="D4" s="45"/>
    </row>
    <row r="5" spans="1:26" ht="14.25" customHeight="1"/>
    <row r="6" spans="1:26" ht="14.25" customHeight="1">
      <c r="A6" s="54" t="s">
        <v>23</v>
      </c>
      <c r="B6" s="45"/>
      <c r="C6" s="45"/>
      <c r="D6" s="45"/>
    </row>
    <row r="7" spans="1:26" ht="15" customHeight="1">
      <c r="A7" s="16" t="s">
        <v>24</v>
      </c>
      <c r="B7" s="17" t="s">
        <v>25</v>
      </c>
      <c r="C7" s="17" t="s">
        <v>26</v>
      </c>
      <c r="D7" s="18" t="s">
        <v>27</v>
      </c>
    </row>
    <row r="8" spans="1:26" ht="32.5" customHeight="1">
      <c r="A8" s="19">
        <v>1</v>
      </c>
      <c r="B8" s="20" t="s">
        <v>28</v>
      </c>
      <c r="C8" s="21" t="s">
        <v>76</v>
      </c>
      <c r="D8" s="22"/>
    </row>
    <row r="9" spans="1:26" ht="14.25" customHeight="1">
      <c r="A9" s="19">
        <v>2</v>
      </c>
      <c r="B9" s="20" t="s">
        <v>29</v>
      </c>
      <c r="C9" s="21"/>
      <c r="D9" s="22" t="s">
        <v>76</v>
      </c>
    </row>
    <row r="10" spans="1:26" ht="14.25" customHeight="1">
      <c r="A10" s="19">
        <v>3</v>
      </c>
      <c r="B10" s="20" t="s">
        <v>30</v>
      </c>
      <c r="C10" s="21" t="s">
        <v>76</v>
      </c>
      <c r="D10" s="22"/>
    </row>
    <row r="11" spans="1:26" ht="14.25" customHeight="1">
      <c r="A11" s="19">
        <v>4</v>
      </c>
      <c r="B11" s="20" t="s">
        <v>31</v>
      </c>
      <c r="C11" s="21" t="s">
        <v>76</v>
      </c>
      <c r="D11" s="22"/>
    </row>
    <row r="12" spans="1:26" ht="14.25" customHeight="1">
      <c r="A12" s="19">
        <v>5</v>
      </c>
      <c r="B12" s="20" t="s">
        <v>32</v>
      </c>
      <c r="C12" s="21" t="s">
        <v>76</v>
      </c>
      <c r="D12" s="22"/>
    </row>
    <row r="13" spans="1:26" ht="14.25" customHeight="1">
      <c r="A13" s="19">
        <v>6</v>
      </c>
      <c r="B13" s="20" t="s">
        <v>33</v>
      </c>
      <c r="C13" s="21" t="s">
        <v>76</v>
      </c>
      <c r="D13" s="22"/>
    </row>
    <row r="14" spans="1:26" ht="14.25" customHeight="1">
      <c r="A14" s="19">
        <v>7</v>
      </c>
      <c r="B14" s="20" t="s">
        <v>34</v>
      </c>
      <c r="C14" s="21" t="s">
        <v>76</v>
      </c>
      <c r="D14" s="22"/>
    </row>
    <row r="15" spans="1:26" ht="14.25" customHeight="1">
      <c r="A15" s="19">
        <v>8</v>
      </c>
      <c r="B15" s="20" t="s">
        <v>35</v>
      </c>
      <c r="C15" s="21" t="s">
        <v>76</v>
      </c>
      <c r="D15" s="22"/>
    </row>
    <row r="16" spans="1:26" ht="14.25" customHeight="1">
      <c r="A16" s="23">
        <v>9</v>
      </c>
      <c r="B16" s="24" t="s">
        <v>36</v>
      </c>
      <c r="C16" s="25"/>
      <c r="D16" s="25" t="s">
        <v>76</v>
      </c>
    </row>
    <row r="17" spans="1:4" ht="14.25" customHeight="1">
      <c r="A17" s="49" t="s">
        <v>37</v>
      </c>
      <c r="B17" s="45"/>
      <c r="C17" s="27">
        <f>COUNTA('M LISTA DE COMPROBACIO RF004'!$C$8:$C$16)</f>
        <v>7</v>
      </c>
      <c r="D17" s="27">
        <f>COUNTA('M LISTA DE COMPROBACIO RF004'!$D$8:$D$16)</f>
        <v>2</v>
      </c>
    </row>
    <row r="18" spans="1:4" ht="14.25" customHeight="1">
      <c r="A18" s="49" t="s">
        <v>38</v>
      </c>
      <c r="B18" s="45"/>
      <c r="C18" s="28">
        <f t="shared" ref="C18:D18" si="0">C17/9</f>
        <v>0.77777777777777779</v>
      </c>
      <c r="D18" s="28">
        <f t="shared" si="0"/>
        <v>0.22222222222222221</v>
      </c>
    </row>
    <row r="19" spans="1:4" ht="14.25" customHeight="1">
      <c r="A19" s="26"/>
      <c r="B19" s="26"/>
      <c r="C19" s="28"/>
      <c r="D19" s="27"/>
    </row>
    <row r="20" spans="1:4" ht="14.25" customHeight="1">
      <c r="A20" s="55" t="s">
        <v>39</v>
      </c>
      <c r="B20" s="56"/>
      <c r="C20" s="56"/>
      <c r="D20" s="56"/>
    </row>
    <row r="21" spans="1:4" ht="14.25" customHeight="1">
      <c r="A21" s="29" t="s">
        <v>24</v>
      </c>
      <c r="B21" s="30" t="s">
        <v>25</v>
      </c>
      <c r="C21" s="31" t="s">
        <v>26</v>
      </c>
      <c r="D21" s="32" t="s">
        <v>27</v>
      </c>
    </row>
    <row r="22" spans="1:4" ht="14.25" customHeight="1">
      <c r="A22" s="19">
        <v>1</v>
      </c>
      <c r="B22" s="20" t="s">
        <v>40</v>
      </c>
      <c r="C22" s="25" t="s">
        <v>76</v>
      </c>
      <c r="D22" s="22"/>
    </row>
    <row r="23" spans="1:4" ht="14.25" customHeight="1">
      <c r="A23" s="19">
        <v>2</v>
      </c>
      <c r="B23" s="20" t="s">
        <v>41</v>
      </c>
      <c r="C23" s="25" t="s">
        <v>76</v>
      </c>
      <c r="D23" s="22"/>
    </row>
    <row r="24" spans="1:4" ht="14.25" customHeight="1">
      <c r="A24" s="19">
        <v>3</v>
      </c>
      <c r="B24" s="20" t="s">
        <v>42</v>
      </c>
      <c r="C24" s="25"/>
      <c r="D24" s="22" t="s">
        <v>76</v>
      </c>
    </row>
    <row r="25" spans="1:4" ht="14.25" customHeight="1">
      <c r="A25" s="19">
        <v>4</v>
      </c>
      <c r="B25" s="20" t="s">
        <v>43</v>
      </c>
      <c r="C25" s="25" t="s">
        <v>76</v>
      </c>
      <c r="D25" s="22"/>
    </row>
    <row r="26" spans="1:4" ht="14.25" customHeight="1">
      <c r="A26" s="23">
        <v>5</v>
      </c>
      <c r="B26" s="24" t="s">
        <v>44</v>
      </c>
      <c r="C26" s="25" t="s">
        <v>76</v>
      </c>
      <c r="D26" s="33"/>
    </row>
    <row r="27" spans="1:4" ht="14.25" customHeight="1">
      <c r="A27" s="49" t="s">
        <v>37</v>
      </c>
      <c r="B27" s="45"/>
      <c r="C27" s="27">
        <f>COUNTA('M LISTA DE COMPROBACIO RF004'!$C$22:$C$26)</f>
        <v>4</v>
      </c>
      <c r="D27" s="27">
        <f>COUNTA('M LISTA DE COMPROBACIO RF004'!$D$22:$D$26)</f>
        <v>1</v>
      </c>
    </row>
    <row r="28" spans="1:4" ht="14.25" customHeight="1">
      <c r="A28" s="49" t="s">
        <v>38</v>
      </c>
      <c r="B28" s="45"/>
      <c r="C28" s="28">
        <f t="shared" ref="C28:D28" si="1">C27/5</f>
        <v>0.8</v>
      </c>
      <c r="D28" s="28">
        <f t="shared" si="1"/>
        <v>0.2</v>
      </c>
    </row>
    <row r="29" spans="1:4" ht="14.25" customHeight="1">
      <c r="A29" s="26"/>
      <c r="B29" s="26"/>
      <c r="C29" s="28"/>
      <c r="D29" s="27"/>
    </row>
    <row r="30" spans="1:4" ht="14.25" customHeight="1">
      <c r="A30" s="54" t="s">
        <v>45</v>
      </c>
      <c r="B30" s="45"/>
      <c r="C30" s="45"/>
      <c r="D30" s="45"/>
    </row>
    <row r="31" spans="1:4" ht="14.25" customHeight="1">
      <c r="A31" s="29" t="s">
        <v>24</v>
      </c>
      <c r="B31" s="30" t="s">
        <v>25</v>
      </c>
      <c r="C31" s="31" t="s">
        <v>26</v>
      </c>
      <c r="D31" s="32" t="s">
        <v>27</v>
      </c>
    </row>
    <row r="32" spans="1:4" ht="14.25" customHeight="1">
      <c r="A32" s="19">
        <v>1</v>
      </c>
      <c r="B32" s="20" t="s">
        <v>46</v>
      </c>
      <c r="C32" s="25"/>
      <c r="D32" s="25" t="s">
        <v>76</v>
      </c>
    </row>
    <row r="33" spans="1:4" ht="14.25" customHeight="1">
      <c r="A33" s="19">
        <v>2</v>
      </c>
      <c r="B33" s="20" t="s">
        <v>47</v>
      </c>
      <c r="C33" s="25"/>
      <c r="D33" s="25" t="s">
        <v>76</v>
      </c>
    </row>
    <row r="34" spans="1:4" ht="14.25" customHeight="1">
      <c r="A34" s="23">
        <v>3</v>
      </c>
      <c r="B34" s="24" t="s">
        <v>48</v>
      </c>
      <c r="C34" s="25" t="s">
        <v>76</v>
      </c>
      <c r="D34" s="25"/>
    </row>
    <row r="35" spans="1:4" ht="14.25" customHeight="1">
      <c r="A35" s="49" t="s">
        <v>37</v>
      </c>
      <c r="B35" s="45"/>
      <c r="C35" s="8">
        <f>COUNTA('M LISTA DE COMPROBACIO RF004'!$C$32:$C$34)</f>
        <v>1</v>
      </c>
      <c r="D35" s="8">
        <f>COUNTA('M LISTA DE COMPROBACIO RF004'!$D$32:$D$34)</f>
        <v>2</v>
      </c>
    </row>
    <row r="36" spans="1:4" ht="14.25" customHeight="1">
      <c r="A36" s="49" t="s">
        <v>38</v>
      </c>
      <c r="B36" s="45"/>
      <c r="C36" s="28">
        <f t="shared" ref="C36:D36" si="2">C35/3</f>
        <v>0.33333333333333331</v>
      </c>
      <c r="D36" s="28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50" t="s">
        <v>49</v>
      </c>
      <c r="B40" s="45"/>
      <c r="C40" s="45"/>
    </row>
    <row r="41" spans="1:4" ht="30" customHeight="1">
      <c r="B41" s="13" t="s">
        <v>50</v>
      </c>
      <c r="C41" s="27"/>
    </row>
    <row r="42" spans="1:4" ht="30" customHeight="1">
      <c r="B42" s="13" t="s">
        <v>39</v>
      </c>
      <c r="C42" s="27"/>
    </row>
    <row r="43" spans="1:4" ht="30" customHeight="1">
      <c r="B43" s="13" t="s">
        <v>45</v>
      </c>
      <c r="C43" s="27"/>
    </row>
    <row r="44" spans="1:4" ht="14.25" customHeight="1">
      <c r="C44" s="27"/>
    </row>
    <row r="45" spans="1:4" ht="14.25" customHeight="1">
      <c r="C45" s="27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5A0F-F356-4B54-B324-72D554BC5CF2}">
  <dimension ref="A1:Z1000"/>
  <sheetViews>
    <sheetView workbookViewId="0">
      <selection activeCell="F11" sqref="F11"/>
    </sheetView>
  </sheetViews>
  <sheetFormatPr defaultColWidth="14.453125" defaultRowHeight="15" customHeight="1"/>
  <cols>
    <col min="1" max="1" width="10.7265625" customWidth="1"/>
    <col min="2" max="2" width="34.54296875" customWidth="1"/>
    <col min="3" max="3" width="16.08984375" customWidth="1"/>
    <col min="4" max="26" width="10.7265625" customWidth="1"/>
  </cols>
  <sheetData>
    <row r="1" spans="1:26" ht="51" customHeight="1">
      <c r="A1" s="13"/>
      <c r="B1" s="14" t="s">
        <v>1</v>
      </c>
      <c r="C1" s="51"/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20</v>
      </c>
      <c r="C2" s="52">
        <v>45967</v>
      </c>
      <c r="D2" s="45"/>
    </row>
    <row r="3" spans="1:26" ht="14.25" customHeight="1">
      <c r="B3" s="15" t="s">
        <v>21</v>
      </c>
      <c r="C3" s="53" t="s">
        <v>75</v>
      </c>
      <c r="D3" s="45"/>
    </row>
    <row r="4" spans="1:26" ht="14.25" customHeight="1">
      <c r="B4" s="15" t="s">
        <v>22</v>
      </c>
      <c r="C4" s="53" t="s">
        <v>74</v>
      </c>
      <c r="D4" s="45"/>
    </row>
    <row r="5" spans="1:26" ht="14.25" customHeight="1"/>
    <row r="6" spans="1:26" ht="14.25" customHeight="1">
      <c r="A6" s="54" t="s">
        <v>23</v>
      </c>
      <c r="B6" s="45"/>
      <c r="C6" s="45"/>
      <c r="D6" s="45"/>
    </row>
    <row r="7" spans="1:26" ht="15" customHeight="1">
      <c r="A7" s="16" t="s">
        <v>24</v>
      </c>
      <c r="B7" s="17" t="s">
        <v>25</v>
      </c>
      <c r="C7" s="17" t="s">
        <v>26</v>
      </c>
      <c r="D7" s="18" t="s">
        <v>27</v>
      </c>
    </row>
    <row r="8" spans="1:26" ht="32.5" customHeight="1">
      <c r="A8" s="19">
        <v>1</v>
      </c>
      <c r="B8" s="20" t="s">
        <v>28</v>
      </c>
      <c r="C8" s="21" t="s">
        <v>76</v>
      </c>
      <c r="D8" s="22"/>
    </row>
    <row r="9" spans="1:26" ht="14.25" customHeight="1">
      <c r="A9" s="19">
        <v>2</v>
      </c>
      <c r="B9" s="20" t="s">
        <v>29</v>
      </c>
      <c r="C9" s="21"/>
      <c r="D9" s="22" t="s">
        <v>76</v>
      </c>
    </row>
    <row r="10" spans="1:26" ht="14.25" customHeight="1">
      <c r="A10" s="19">
        <v>3</v>
      </c>
      <c r="B10" s="20" t="s">
        <v>30</v>
      </c>
      <c r="C10" s="21" t="s">
        <v>76</v>
      </c>
      <c r="D10" s="22"/>
    </row>
    <row r="11" spans="1:26" ht="14.25" customHeight="1">
      <c r="A11" s="19">
        <v>4</v>
      </c>
      <c r="B11" s="20" t="s">
        <v>31</v>
      </c>
      <c r="C11" s="21" t="s">
        <v>76</v>
      </c>
      <c r="D11" s="22"/>
    </row>
    <row r="12" spans="1:26" ht="14.25" customHeight="1">
      <c r="A12" s="19">
        <v>5</v>
      </c>
      <c r="B12" s="20" t="s">
        <v>32</v>
      </c>
      <c r="C12" s="21" t="s">
        <v>76</v>
      </c>
      <c r="D12" s="22"/>
    </row>
    <row r="13" spans="1:26" ht="14.25" customHeight="1">
      <c r="A13" s="19">
        <v>6</v>
      </c>
      <c r="B13" s="20" t="s">
        <v>33</v>
      </c>
      <c r="C13" s="21" t="s">
        <v>76</v>
      </c>
      <c r="D13" s="22"/>
    </row>
    <row r="14" spans="1:26" ht="14.25" customHeight="1">
      <c r="A14" s="19">
        <v>7</v>
      </c>
      <c r="B14" s="20" t="s">
        <v>34</v>
      </c>
      <c r="C14" s="21" t="s">
        <v>76</v>
      </c>
      <c r="D14" s="22"/>
    </row>
    <row r="15" spans="1:26" ht="14.25" customHeight="1">
      <c r="A15" s="19">
        <v>8</v>
      </c>
      <c r="B15" s="20" t="s">
        <v>35</v>
      </c>
      <c r="C15" s="21" t="s">
        <v>76</v>
      </c>
      <c r="D15" s="22"/>
    </row>
    <row r="16" spans="1:26" ht="14.25" customHeight="1">
      <c r="A16" s="23">
        <v>9</v>
      </c>
      <c r="B16" s="24" t="s">
        <v>36</v>
      </c>
      <c r="C16" s="25"/>
      <c r="D16" s="25" t="s">
        <v>76</v>
      </c>
    </row>
    <row r="17" spans="1:4" ht="14.25" customHeight="1">
      <c r="A17" s="49" t="s">
        <v>37</v>
      </c>
      <c r="B17" s="45"/>
      <c r="C17" s="27">
        <f>COUNTA('M LISTA DE COMPROBACIO RF006'!$C$8:$C$16)</f>
        <v>7</v>
      </c>
      <c r="D17" s="27">
        <f>COUNTA('M LISTA DE COMPROBACIO RF006'!$D$8:$D$16)</f>
        <v>2</v>
      </c>
    </row>
    <row r="18" spans="1:4" ht="14.25" customHeight="1">
      <c r="A18" s="49" t="s">
        <v>38</v>
      </c>
      <c r="B18" s="45"/>
      <c r="C18" s="28">
        <f t="shared" ref="C18:D18" si="0">C17/9</f>
        <v>0.77777777777777779</v>
      </c>
      <c r="D18" s="28">
        <f t="shared" si="0"/>
        <v>0.22222222222222221</v>
      </c>
    </row>
    <row r="19" spans="1:4" ht="14.25" customHeight="1">
      <c r="A19" s="26"/>
      <c r="B19" s="26"/>
      <c r="C19" s="28"/>
      <c r="D19" s="27"/>
    </row>
    <row r="20" spans="1:4" ht="14.25" customHeight="1">
      <c r="A20" s="55" t="s">
        <v>39</v>
      </c>
      <c r="B20" s="56"/>
      <c r="C20" s="56"/>
      <c r="D20" s="56"/>
    </row>
    <row r="21" spans="1:4" ht="14.25" customHeight="1">
      <c r="A21" s="29" t="s">
        <v>24</v>
      </c>
      <c r="B21" s="30" t="s">
        <v>25</v>
      </c>
      <c r="C21" s="31" t="s">
        <v>26</v>
      </c>
      <c r="D21" s="32" t="s">
        <v>27</v>
      </c>
    </row>
    <row r="22" spans="1:4" ht="14.25" customHeight="1">
      <c r="A22" s="19">
        <v>1</v>
      </c>
      <c r="B22" s="20" t="s">
        <v>40</v>
      </c>
      <c r="C22" s="25" t="s">
        <v>76</v>
      </c>
      <c r="D22" s="22"/>
    </row>
    <row r="23" spans="1:4" ht="14.25" customHeight="1">
      <c r="A23" s="19">
        <v>2</v>
      </c>
      <c r="B23" s="20" t="s">
        <v>41</v>
      </c>
      <c r="C23" s="25" t="s">
        <v>76</v>
      </c>
      <c r="D23" s="22"/>
    </row>
    <row r="24" spans="1:4" ht="14.25" customHeight="1">
      <c r="A24" s="19">
        <v>3</v>
      </c>
      <c r="B24" s="20" t="s">
        <v>42</v>
      </c>
      <c r="C24" s="25"/>
      <c r="D24" s="22" t="s">
        <v>76</v>
      </c>
    </row>
    <row r="25" spans="1:4" ht="14.25" customHeight="1">
      <c r="A25" s="19">
        <v>4</v>
      </c>
      <c r="B25" s="20" t="s">
        <v>43</v>
      </c>
      <c r="C25" s="25" t="s">
        <v>76</v>
      </c>
      <c r="D25" s="22"/>
    </row>
    <row r="26" spans="1:4" ht="14.25" customHeight="1">
      <c r="A26" s="23">
        <v>5</v>
      </c>
      <c r="B26" s="24" t="s">
        <v>44</v>
      </c>
      <c r="C26" s="25" t="s">
        <v>76</v>
      </c>
      <c r="D26" s="33"/>
    </row>
    <row r="27" spans="1:4" ht="14.25" customHeight="1">
      <c r="A27" s="49" t="s">
        <v>37</v>
      </c>
      <c r="B27" s="45"/>
      <c r="C27" s="27">
        <f>COUNTA('M LISTA DE COMPROBACIO RF006'!$C$22:$C$26)</f>
        <v>4</v>
      </c>
      <c r="D27" s="27">
        <f>COUNTA('M LISTA DE COMPROBACIO RF006'!$D$22:$D$26)</f>
        <v>1</v>
      </c>
    </row>
    <row r="28" spans="1:4" ht="14.25" customHeight="1">
      <c r="A28" s="49" t="s">
        <v>38</v>
      </c>
      <c r="B28" s="45"/>
      <c r="C28" s="28">
        <f t="shared" ref="C28:D28" si="1">C27/5</f>
        <v>0.8</v>
      </c>
      <c r="D28" s="28">
        <f t="shared" si="1"/>
        <v>0.2</v>
      </c>
    </row>
    <row r="29" spans="1:4" ht="14.25" customHeight="1">
      <c r="A29" s="26"/>
      <c r="B29" s="26"/>
      <c r="C29" s="28"/>
      <c r="D29" s="27"/>
    </row>
    <row r="30" spans="1:4" ht="14.25" customHeight="1">
      <c r="A30" s="54" t="s">
        <v>45</v>
      </c>
      <c r="B30" s="45"/>
      <c r="C30" s="45"/>
      <c r="D30" s="45"/>
    </row>
    <row r="31" spans="1:4" ht="14.25" customHeight="1">
      <c r="A31" s="29" t="s">
        <v>24</v>
      </c>
      <c r="B31" s="30" t="s">
        <v>25</v>
      </c>
      <c r="C31" s="31" t="s">
        <v>26</v>
      </c>
      <c r="D31" s="32" t="s">
        <v>27</v>
      </c>
    </row>
    <row r="32" spans="1:4" ht="14.25" customHeight="1">
      <c r="A32" s="19">
        <v>1</v>
      </c>
      <c r="B32" s="20" t="s">
        <v>46</v>
      </c>
      <c r="C32" s="25"/>
      <c r="D32" s="25" t="s">
        <v>76</v>
      </c>
    </row>
    <row r="33" spans="1:4" ht="14.25" customHeight="1">
      <c r="A33" s="19">
        <v>2</v>
      </c>
      <c r="B33" s="20" t="s">
        <v>47</v>
      </c>
      <c r="C33" s="25"/>
      <c r="D33" s="25" t="s">
        <v>76</v>
      </c>
    </row>
    <row r="34" spans="1:4" ht="14.25" customHeight="1">
      <c r="A34" s="23">
        <v>3</v>
      </c>
      <c r="B34" s="24" t="s">
        <v>48</v>
      </c>
      <c r="C34" s="25" t="s">
        <v>76</v>
      </c>
      <c r="D34" s="25"/>
    </row>
    <row r="35" spans="1:4" ht="14.25" customHeight="1">
      <c r="A35" s="49" t="s">
        <v>37</v>
      </c>
      <c r="B35" s="45"/>
      <c r="C35" s="8">
        <f>COUNTA('M LISTA DE COMPROBACIO RF006'!$C$32:$C$34)</f>
        <v>1</v>
      </c>
      <c r="D35" s="8">
        <f>COUNTA('M LISTA DE COMPROBACIO RF006'!$D$32:$D$34)</f>
        <v>2</v>
      </c>
    </row>
    <row r="36" spans="1:4" ht="14.25" customHeight="1">
      <c r="A36" s="49" t="s">
        <v>38</v>
      </c>
      <c r="B36" s="45"/>
      <c r="C36" s="28">
        <f t="shared" ref="C36:D36" si="2">C35/3</f>
        <v>0.33333333333333331</v>
      </c>
      <c r="D36" s="28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50" t="s">
        <v>49</v>
      </c>
      <c r="B40" s="45"/>
      <c r="C40" s="45"/>
    </row>
    <row r="41" spans="1:4" ht="30" customHeight="1">
      <c r="B41" s="13" t="s">
        <v>50</v>
      </c>
      <c r="C41" s="27"/>
    </row>
    <row r="42" spans="1:4" ht="30" customHeight="1">
      <c r="B42" s="13" t="s">
        <v>39</v>
      </c>
      <c r="C42" s="27"/>
    </row>
    <row r="43" spans="1:4" ht="30" customHeight="1">
      <c r="B43" s="13" t="s">
        <v>45</v>
      </c>
      <c r="C43" s="27"/>
    </row>
    <row r="44" spans="1:4" ht="14.25" customHeight="1">
      <c r="C44" s="27"/>
    </row>
    <row r="45" spans="1:4" ht="14.25" customHeight="1">
      <c r="C45" s="27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6E64-99B4-43FB-9D6A-54903047466D}">
  <dimension ref="A1:B7"/>
  <sheetViews>
    <sheetView workbookViewId="0">
      <selection activeCell="B8" sqref="B8"/>
    </sheetView>
  </sheetViews>
  <sheetFormatPr defaultRowHeight="14.5"/>
  <cols>
    <col min="1" max="1" width="48.36328125" customWidth="1"/>
    <col min="2" max="2" width="47.26953125" customWidth="1"/>
  </cols>
  <sheetData>
    <row r="1" spans="1:2">
      <c r="A1" s="34" t="s">
        <v>51</v>
      </c>
      <c r="B1" s="34" t="s">
        <v>52</v>
      </c>
    </row>
    <row r="2" spans="1:2" ht="60.5" customHeight="1">
      <c r="A2" s="24" t="s">
        <v>53</v>
      </c>
      <c r="B2" s="24" t="s">
        <v>54</v>
      </c>
    </row>
    <row r="3" spans="1:2" ht="58">
      <c r="A3" s="60" t="s">
        <v>81</v>
      </c>
      <c r="B3" s="60" t="s">
        <v>82</v>
      </c>
    </row>
    <row r="4" spans="1:2" ht="58">
      <c r="A4" s="61" t="s">
        <v>69</v>
      </c>
      <c r="B4" s="61" t="s">
        <v>72</v>
      </c>
    </row>
    <row r="5" spans="1:2" ht="58">
      <c r="A5" s="62" t="s">
        <v>70</v>
      </c>
      <c r="B5" s="62" t="s">
        <v>73</v>
      </c>
    </row>
    <row r="6" spans="1:2" ht="40" customHeight="1">
      <c r="A6" s="59"/>
      <c r="B6" s="59"/>
    </row>
    <row r="7" spans="1:2">
      <c r="A7" s="59"/>
      <c r="B7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B2DA-1BA2-4972-99AE-CA1FA3AD7B45}">
  <dimension ref="A1:B7"/>
  <sheetViews>
    <sheetView workbookViewId="0">
      <selection activeCell="A2" sqref="A2"/>
    </sheetView>
  </sheetViews>
  <sheetFormatPr defaultRowHeight="14.5"/>
  <cols>
    <col min="1" max="1" width="48.36328125" customWidth="1"/>
    <col min="2" max="2" width="47.26953125" customWidth="1"/>
  </cols>
  <sheetData>
    <row r="1" spans="1:2">
      <c r="A1" s="34" t="s">
        <v>51</v>
      </c>
      <c r="B1" s="34" t="s">
        <v>52</v>
      </c>
    </row>
    <row r="2" spans="1:2" ht="72.5">
      <c r="A2" s="24" t="s">
        <v>53</v>
      </c>
      <c r="B2" s="24" t="s">
        <v>54</v>
      </c>
    </row>
    <row r="3" spans="1:2" ht="58">
      <c r="A3" s="61" t="s">
        <v>69</v>
      </c>
      <c r="B3" s="61" t="s">
        <v>72</v>
      </c>
    </row>
    <row r="4" spans="1:2" ht="58">
      <c r="A4" s="62" t="s">
        <v>70</v>
      </c>
      <c r="B4" s="62" t="s">
        <v>73</v>
      </c>
    </row>
    <row r="5" spans="1:2" ht="34" customHeight="1"/>
    <row r="6" spans="1:2" ht="40" customHeight="1">
      <c r="A6" s="59"/>
      <c r="B6" s="59"/>
    </row>
    <row r="7" spans="1:2">
      <c r="A7" s="59"/>
      <c r="B7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tabSelected="1" workbookViewId="0">
      <selection activeCell="A20" sqref="A20"/>
    </sheetView>
  </sheetViews>
  <sheetFormatPr defaultColWidth="14.453125" defaultRowHeight="15" customHeight="1"/>
  <cols>
    <col min="1" max="1" width="53.08984375" customWidth="1"/>
    <col min="2" max="2" width="57.26953125" customWidth="1"/>
    <col min="3" max="26" width="10.7265625" customWidth="1"/>
  </cols>
  <sheetData>
    <row r="1" spans="1:2" ht="14.25" customHeight="1">
      <c r="A1" s="34" t="s">
        <v>51</v>
      </c>
      <c r="B1" s="34" t="s">
        <v>52</v>
      </c>
    </row>
    <row r="2" spans="1:2" ht="58">
      <c r="A2" s="24" t="s">
        <v>53</v>
      </c>
      <c r="B2" s="24" t="s">
        <v>54</v>
      </c>
    </row>
    <row r="3" spans="1:2" ht="43.5">
      <c r="A3" s="61" t="s">
        <v>68</v>
      </c>
      <c r="B3" s="61" t="s">
        <v>71</v>
      </c>
    </row>
    <row r="4" spans="1:2" ht="43.5">
      <c r="A4" s="61" t="s">
        <v>69</v>
      </c>
      <c r="B4" s="61" t="s">
        <v>72</v>
      </c>
    </row>
    <row r="5" spans="1:2" ht="43.5">
      <c r="A5" s="61" t="s">
        <v>70</v>
      </c>
      <c r="B5" s="61" t="s">
        <v>73</v>
      </c>
    </row>
    <row r="6" spans="1:2" ht="14.25" customHeight="1">
      <c r="A6" s="58"/>
      <c r="B6" s="58"/>
    </row>
    <row r="7" spans="1:2" ht="14.25" customHeight="1">
      <c r="A7" s="57"/>
      <c r="B7" s="57"/>
    </row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spans="1:1" ht="14.25" customHeight="1"/>
    <row r="18" spans="1:1" ht="14.25" customHeight="1"/>
    <row r="19" spans="1:1" ht="14.25" customHeight="1"/>
    <row r="20" spans="1:1" ht="14.25" customHeight="1"/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Matriz Ckeck LIst</vt:lpstr>
      <vt:lpstr>M LISTA DE COMPROBACIO RF002</vt:lpstr>
      <vt:lpstr>M LISTA DE COMPROBACIO RF004</vt:lpstr>
      <vt:lpstr>M LISTA DE COMPROBACIO RF006</vt:lpstr>
      <vt:lpstr>RECOMENDACIONES - RF - 002</vt:lpstr>
      <vt:lpstr>RECOMENDACIONES - RF - 004</vt:lpstr>
      <vt:lpstr>RECOMENDACIONES - RF - 006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Jhordy Marcillo</cp:lastModifiedBy>
  <dcterms:created xsi:type="dcterms:W3CDTF">2025-11-06T12:19:23Z</dcterms:created>
  <dcterms:modified xsi:type="dcterms:W3CDTF">2025-11-06T13:53:55Z</dcterms:modified>
</cp:coreProperties>
</file>