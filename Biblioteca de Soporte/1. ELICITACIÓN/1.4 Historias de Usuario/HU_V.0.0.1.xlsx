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<sst xmlns="http://schemas.openxmlformats.org/spreadsheetml/2006/main" count="75" uniqueCount="60">
  <si>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</si>
  <si>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</si>
  <si>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</si>
  <si>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</si>
  <si>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</si>
  <si>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</si>
  <si>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</si>
  <si>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</si>
  <si>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</si>
  <si>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</si>
  <si>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</si>
  <si>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</si>
  <si>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</si>
  <si>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</si>
  <si>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</si>
  <si>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</t>
  </si>
  <si>
    <t>Las usuarias no van a poder acceder al sistema sin autenticación.</t>
  </si>
  <si>
    <t>Se necesita un mecanismo seguro de inicio de sesión.</t>
  </si>
  <si>
    <t>Permitir el acceso controlado y seguro a las funciones del sistema</t>
  </si>
  <si>
    <t>Tesorera, Coordinadora</t>
  </si>
  <si>
    <t>1. Mostrar formulario. 2. Ingresar usuario/contraseña. 3. Validar credenciales. 4. Redirigir al panel principal.</t>
  </si>
  <si>
    <t>Todo el grupo</t>
  </si>
  <si>
    <t>Alta</t>
  </si>
  <si>
    <t>No iniciado</t>
  </si>
  <si>
    <t xml:space="preserve">Se verifica ingresando credenciales válidas y accediendo al panel.  
Probar casos de error: campos vacíos, usuario incorrecto, contraseña incorrecta
</t>
  </si>
  <si>
    <t>Inicio de Sesión del Sistema</t>
  </si>
  <si>
    <t>RF2</t>
  </si>
  <si>
    <t>Existe registros manuales de donaciones lo que puede llevar a errores humanos</t>
  </si>
  <si>
    <t>Registrar donaciones físicas con datos completos y validados.</t>
  </si>
  <si>
    <t>Gestionar reportes de ingreso y balances exactos.</t>
  </si>
  <si>
    <t>Tesorera</t>
  </si>
  <si>
    <t>1. Seleccionar “Registrar donaciones”. 2. Ingresar datos de la donación. 3. Confirmar el registro. 4. Validar y almacenar en BD.</t>
  </si>
  <si>
    <t xml:space="preserve">Registrar una donación completa. 
Validar campos obligatorios. 
Probar errores por datos inválidos. 
</t>
  </si>
  <si>
    <t>Validar con reglas por tipo de ingreso</t>
  </si>
  <si>
    <t xml:space="preserve">Registro de Donaciones </t>
  </si>
  <si>
    <t>RF3</t>
  </si>
  <si>
    <t>La tesorera necesita registrar salidas de las donaciones para mantener el control financiero de la fundación</t>
  </si>
  <si>
    <t>Registrar egresos con los datos necesarios y validados.</t>
  </si>
  <si>
    <t>Gestionar reportes de egresos y balances precisos.</t>
  </si>
  <si>
    <t>1. Seleccionar “Registrar egresos”. 2. Ingresar datos del egreso (tipo, fecha, cantidad, banco, cuenta, comprobante). 3. Registrar información adicional según el tipo. 4. Confirmar el egreso. 5. El sistema valida y guarda.</t>
  </si>
  <si>
    <t>Intentar registrar un egreso completo. 
Verificar validaciones por campos vacíos. 
Validar errores por datos incorrectos. 
Confirmar datos en la BD. 
Verificar tiempos de respuesta</t>
  </si>
  <si>
    <t>Validar con reglas por tipo de egreso</t>
  </si>
  <si>
    <t>Registro de Egresos</t>
  </si>
  <si>
    <t>RF4</t>
  </si>
  <si>
    <t>permite clasificar el tipo de donación en especie en: ropa, alimentos perecibles, no perecibles, muebles o juguetes</t>
  </si>
  <si>
    <t>1.El actor selecciona una donación tipo especie.  2.El sistema despliega los diferentes tipos de categorías de especie entre (ropa, alimentos perecibles, no perecibles, muebles o juguete 3.l actor selecciona una opción y confirma. 4.El sistema actualiza la donación con la categoría correspondiente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</si>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</sst>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4" fillId="3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9.5"/>
    <col customWidth="1" min="14" max="15" width="20.63"/>
    <col customWidth="1" min="16" max="26" width="9.38"/>
  </cols>
  <sheetData>
    <row r="1">
      <c r="A1" s="1">
        <v>4.0</v>
      </c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10" t="s">
        <v>17</v>
      </c>
      <c r="E6" s="11" t="s">
        <v>18</v>
      </c>
      <c r="F6" s="10" t="s">
        <v>19</v>
      </c>
      <c r="G6" s="10" t="s">
        <v>20</v>
      </c>
      <c r="H6" s="9" t="s">
        <v>21</v>
      </c>
      <c r="I6" s="9">
        <v>2.0</v>
      </c>
      <c r="J6" s="12">
        <v>45979.0</v>
      </c>
      <c r="K6" s="10" t="s">
        <v>22</v>
      </c>
      <c r="L6" s="13" t="s">
        <v>23</v>
      </c>
      <c r="M6" s="11" t="s">
        <v>24</v>
      </c>
      <c r="N6" s="10"/>
      <c r="O6" s="10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26</v>
      </c>
      <c r="C7" s="11" t="s">
        <v>27</v>
      </c>
      <c r="D7" s="10" t="s">
        <v>28</v>
      </c>
      <c r="E7" s="10" t="s">
        <v>29</v>
      </c>
      <c r="F7" s="10" t="s">
        <v>30</v>
      </c>
      <c r="G7" s="11" t="s">
        <v>31</v>
      </c>
      <c r="H7" s="10" t="s">
        <v>21</v>
      </c>
      <c r="I7" s="10">
        <v>3.0</v>
      </c>
      <c r="J7" s="10">
        <v>45979.0</v>
      </c>
      <c r="K7" s="10" t="s">
        <v>22</v>
      </c>
      <c r="L7" s="10" t="s">
        <v>23</v>
      </c>
      <c r="M7" s="11" t="s">
        <v>32</v>
      </c>
      <c r="N7" s="11" t="s">
        <v>33</v>
      </c>
      <c r="O7" s="11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35</v>
      </c>
      <c r="C8" s="11" t="s">
        <v>36</v>
      </c>
      <c r="D8" s="11" t="s">
        <v>37</v>
      </c>
      <c r="E8" s="10" t="s">
        <v>38</v>
      </c>
      <c r="F8" s="10" t="s">
        <v>30</v>
      </c>
      <c r="G8" s="11" t="s">
        <v>39</v>
      </c>
      <c r="H8" s="10" t="s">
        <v>21</v>
      </c>
      <c r="I8" s="10">
        <v>3.0</v>
      </c>
      <c r="J8" s="10">
        <v>45979.0</v>
      </c>
      <c r="K8" s="10" t="s">
        <v>22</v>
      </c>
      <c r="L8" s="10" t="s">
        <v>23</v>
      </c>
      <c r="M8" s="11" t="s">
        <v>40</v>
      </c>
      <c r="N8" s="10" t="s">
        <v>41</v>
      </c>
      <c r="O8" s="10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5.75" customHeight="1">
      <c r="A9" s="1"/>
      <c r="B9" s="8" t="s">
        <v>43</v>
      </c>
      <c r="C9" s="13"/>
      <c r="D9" s="14"/>
      <c r="E9" s="9" t="s">
        <v>44</v>
      </c>
      <c r="F9" s="9" t="s">
        <v>30</v>
      </c>
      <c r="G9" s="15" t="s">
        <v>45</v>
      </c>
      <c r="H9" s="13"/>
      <c r="I9" s="13"/>
      <c r="J9" s="16"/>
      <c r="K9" s="13"/>
      <c r="L9" s="13"/>
      <c r="M9" s="13"/>
      <c r="N9" s="13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4.5" customHeight="1">
      <c r="A10" s="1"/>
      <c r="B10" s="17"/>
      <c r="C10" s="13"/>
      <c r="D10" s="13"/>
      <c r="E10" s="13"/>
      <c r="F10" s="13"/>
      <c r="G10" s="13"/>
      <c r="H10" s="13"/>
      <c r="I10" s="13"/>
      <c r="J10" s="16"/>
      <c r="K10" s="13"/>
      <c r="L10" s="13"/>
      <c r="M10" s="18"/>
      <c r="N10" s="13"/>
      <c r="O10" s="1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1.5" customHeight="1">
      <c r="A11" s="1"/>
      <c r="B11" s="17"/>
      <c r="C11" s="13"/>
      <c r="D11" s="19"/>
      <c r="E11" s="13"/>
      <c r="F11" s="13"/>
      <c r="G11" s="14"/>
      <c r="H11" s="13"/>
      <c r="I11" s="13"/>
      <c r="J11" s="16"/>
      <c r="K11" s="13"/>
      <c r="L11" s="13"/>
      <c r="M11" s="13"/>
      <c r="N11" s="13"/>
      <c r="O11" s="1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0.5" customHeight="1">
      <c r="A12" s="1"/>
      <c r="B12" s="17"/>
      <c r="C12" s="13"/>
      <c r="D12" s="14"/>
      <c r="E12" s="13"/>
      <c r="F12" s="13"/>
      <c r="G12" s="14"/>
      <c r="H12" s="13"/>
      <c r="I12" s="13"/>
      <c r="J12" s="16"/>
      <c r="K12" s="13"/>
      <c r="L12" s="13"/>
      <c r="M12" s="13"/>
      <c r="N12" s="1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1.5" customHeight="1">
      <c r="A13" s="1"/>
      <c r="B13" s="17"/>
      <c r="C13" s="13"/>
      <c r="D13" s="14"/>
      <c r="E13" s="13"/>
      <c r="F13" s="13"/>
      <c r="G13" s="14"/>
      <c r="H13" s="13"/>
      <c r="I13" s="13"/>
      <c r="J13" s="16"/>
      <c r="K13" s="13"/>
      <c r="L13" s="13"/>
      <c r="M13" s="13"/>
      <c r="N13" s="20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8.5" customHeight="1">
      <c r="A14" s="1"/>
      <c r="B14" s="17"/>
      <c r="C14" s="13"/>
      <c r="D14" s="13"/>
      <c r="E14" s="13"/>
      <c r="F14" s="13"/>
      <c r="G14" s="14"/>
      <c r="H14" s="13"/>
      <c r="I14" s="13"/>
      <c r="J14" s="16"/>
      <c r="K14" s="13"/>
      <c r="L14" s="13"/>
      <c r="M14" s="13"/>
      <c r="N14" s="20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17"/>
      <c r="C15" s="13"/>
      <c r="D15" s="13"/>
      <c r="E15" s="13"/>
      <c r="F15" s="13"/>
      <c r="G15" s="14"/>
      <c r="H15" s="13"/>
      <c r="I15" s="13"/>
      <c r="J15" s="16"/>
      <c r="K15" s="13"/>
      <c r="L15" s="13"/>
      <c r="M15" s="13"/>
      <c r="N15" s="20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2.0" customHeight="1">
      <c r="A16" s="1"/>
      <c r="B16" s="17"/>
      <c r="C16" s="13"/>
      <c r="D16" s="13"/>
      <c r="E16" s="13"/>
      <c r="F16" s="13"/>
      <c r="G16" s="14"/>
      <c r="H16" s="13"/>
      <c r="I16" s="13"/>
      <c r="J16" s="16"/>
      <c r="K16" s="13"/>
      <c r="L16" s="13"/>
      <c r="M16" s="13"/>
      <c r="N16" s="20"/>
      <c r="O16" s="1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17"/>
      <c r="C17" s="13"/>
      <c r="D17" s="13"/>
      <c r="E17" s="13"/>
      <c r="F17" s="13"/>
      <c r="G17" s="14"/>
      <c r="H17" s="13"/>
      <c r="I17" s="13"/>
      <c r="J17" s="16"/>
      <c r="K17" s="13"/>
      <c r="L17" s="13"/>
      <c r="M17" s="13"/>
      <c r="N17" s="20"/>
      <c r="O17" s="1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17"/>
      <c r="C18" s="13"/>
      <c r="D18" s="13"/>
      <c r="E18" s="13"/>
      <c r="F18" s="13"/>
      <c r="G18" s="14"/>
      <c r="H18" s="13"/>
      <c r="I18" s="13"/>
      <c r="J18" s="16"/>
      <c r="K18" s="13"/>
      <c r="L18" s="13"/>
      <c r="M18" s="13"/>
      <c r="N18" s="20"/>
      <c r="O18" s="1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75" customHeight="1">
      <c r="A19" s="1"/>
      <c r="B19" s="17"/>
      <c r="C19" s="13"/>
      <c r="D19" s="13"/>
      <c r="E19" s="13"/>
      <c r="F19" s="13"/>
      <c r="G19" s="14"/>
      <c r="H19" s="13"/>
      <c r="I19" s="13"/>
      <c r="J19" s="16"/>
      <c r="K19" s="13"/>
      <c r="L19" s="13"/>
      <c r="M19" s="13"/>
      <c r="N19" s="20"/>
      <c r="O19" s="1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/>
      <c r="C20" s="22"/>
      <c r="D20" s="22"/>
      <c r="E20" s="22"/>
      <c r="F20" s="22"/>
      <c r="G20" s="22"/>
      <c r="H20" s="13"/>
      <c r="I20" s="13"/>
      <c r="J20" s="16"/>
      <c r="K20" s="13"/>
      <c r="L20" s="13"/>
      <c r="M20" s="23"/>
      <c r="N20" s="22"/>
      <c r="O20" s="2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/>
      <c r="C21" s="22"/>
      <c r="D21" s="22"/>
      <c r="E21" s="22"/>
      <c r="F21" s="22"/>
      <c r="G21" s="22"/>
      <c r="H21" s="13"/>
      <c r="I21" s="13"/>
      <c r="J21" s="16"/>
      <c r="K21" s="13"/>
      <c r="L21" s="13"/>
      <c r="M21" s="22"/>
      <c r="N21" s="22"/>
      <c r="O21" s="2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/>
      <c r="C22" s="22"/>
      <c r="D22" s="22"/>
      <c r="E22" s="22"/>
      <c r="F22" s="22"/>
      <c r="G22" s="22"/>
      <c r="H22" s="13"/>
      <c r="I22" s="13"/>
      <c r="J22" s="16"/>
      <c r="K22" s="13"/>
      <c r="L22" s="13"/>
      <c r="M22" s="22"/>
      <c r="N22" s="22"/>
      <c r="O22" s="2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1"/>
      <c r="C23" s="22"/>
      <c r="D23" s="22"/>
      <c r="E23" s="22"/>
      <c r="F23" s="22"/>
      <c r="G23" s="22"/>
      <c r="H23" s="13"/>
      <c r="I23" s="13"/>
      <c r="J23" s="16"/>
      <c r="K23" s="13"/>
      <c r="L23" s="13"/>
      <c r="M23" s="22"/>
      <c r="N23" s="22"/>
      <c r="O23" s="2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1"/>
      <c r="C24" s="13"/>
      <c r="D24" s="13"/>
      <c r="E24" s="13"/>
      <c r="F24" s="13"/>
      <c r="G24" s="13"/>
      <c r="H24" s="13"/>
      <c r="I24" s="13"/>
      <c r="J24" s="16"/>
      <c r="K24" s="13"/>
      <c r="L24" s="13"/>
      <c r="M24" s="18"/>
      <c r="N24" s="13"/>
      <c r="O24" s="1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21"/>
      <c r="C25" s="13"/>
      <c r="D25" s="13"/>
      <c r="E25" s="13"/>
      <c r="F25" s="13"/>
      <c r="G25" s="13"/>
      <c r="H25" s="13"/>
      <c r="I25" s="13"/>
      <c r="J25" s="16"/>
      <c r="K25" s="13"/>
      <c r="L25" s="13"/>
      <c r="M25" s="18"/>
      <c r="N25" s="13"/>
      <c r="O25" s="1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21"/>
      <c r="C26" s="13"/>
      <c r="D26" s="13"/>
      <c r="E26" s="13"/>
      <c r="F26" s="13"/>
      <c r="G26" s="14"/>
      <c r="H26" s="13"/>
      <c r="I26" s="13"/>
      <c r="J26" s="16"/>
      <c r="K26" s="13"/>
      <c r="L26" s="13"/>
      <c r="M26" s="18"/>
      <c r="N26" s="13"/>
      <c r="O26" s="1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5.75" customHeight="1">
      <c r="A27" s="1"/>
      <c r="B27" s="21"/>
      <c r="C27" s="13"/>
      <c r="D27" s="14"/>
      <c r="E27" s="13"/>
      <c r="F27" s="13"/>
      <c r="G27" s="14"/>
      <c r="H27" s="13"/>
      <c r="I27" s="13"/>
      <c r="J27" s="16"/>
      <c r="K27" s="13"/>
      <c r="L27" s="13"/>
      <c r="M27" s="18"/>
      <c r="N27" s="13"/>
      <c r="O27" s="1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5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5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22</v>
      </c>
      <c r="L33" s="3" t="s">
        <v>23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3" t="s">
        <v>46</v>
      </c>
      <c r="L34" s="3" t="s">
        <v>47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3" t="s">
        <v>48</v>
      </c>
      <c r="L35" s="3" t="s">
        <v>49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3" t="s">
        <v>50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O3"/>
  </mergeCells>
  <conditionalFormatting sqref="L6 L9 L11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:L19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7">
      <formula1>$L$33:$L$36</formula1>
    </dataValidation>
    <dataValidation type="list" allowBlank="1" showErrorMessage="1" sqref="K6:K27">
      <formula1>$K$33:$K$35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6"/>
      <c r="D4" s="26"/>
      <c r="E4" s="26"/>
      <c r="F4" s="27"/>
    </row>
    <row r="5" hidden="1">
      <c r="C5" s="26"/>
      <c r="D5" s="26"/>
      <c r="E5" s="26"/>
      <c r="F5" s="27"/>
    </row>
    <row r="6" ht="39.75" customHeight="1">
      <c r="B6" s="28" t="s">
        <v>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9"/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9.75" customHeight="1">
      <c r="B8" s="31"/>
      <c r="C8" s="32"/>
      <c r="D8" s="32"/>
      <c r="E8" s="32"/>
      <c r="F8" s="33"/>
      <c r="G8" s="34"/>
      <c r="H8" s="34"/>
      <c r="I8" s="34"/>
      <c r="J8" s="34"/>
      <c r="K8" s="34"/>
      <c r="L8" s="34"/>
      <c r="M8" s="34"/>
      <c r="N8" s="34"/>
      <c r="O8" s="34"/>
      <c r="P8" s="35"/>
      <c r="Q8" s="29"/>
    </row>
    <row r="9" ht="30.0" customHeight="1">
      <c r="B9" s="36"/>
      <c r="C9" s="37" t="s">
        <v>1</v>
      </c>
      <c r="D9" s="38"/>
      <c r="E9" s="39" t="s">
        <v>52</v>
      </c>
      <c r="F9" s="6"/>
      <c r="G9" s="38"/>
      <c r="H9" s="39" t="s">
        <v>11</v>
      </c>
      <c r="I9" s="6"/>
      <c r="J9" s="40"/>
      <c r="K9" s="40"/>
      <c r="L9" s="40"/>
      <c r="M9" s="40"/>
      <c r="N9" s="40"/>
      <c r="O9" s="40"/>
      <c r="P9" s="41"/>
      <c r="Q9" s="29"/>
    </row>
    <row r="10" ht="30.0" customHeight="1">
      <c r="B10" s="36"/>
      <c r="C10" s="42" t="s">
        <v>15</v>
      </c>
      <c r="D10" s="43"/>
      <c r="E10" s="44" t="str">
        <f>VLOOKUP(C10,'Formato descripción HU'!B6:O23,5,0)</f>
        <v>Tesorera, Coordinadora</v>
      </c>
      <c r="F10" s="6"/>
      <c r="G10" s="45"/>
      <c r="H10" s="44" t="str">
        <f>VLOOKUP(C10,'Formato descripción HU'!B6:O23,11,0)</f>
        <v>No iniciado</v>
      </c>
      <c r="I10" s="6"/>
      <c r="J10" s="45"/>
      <c r="K10" s="40"/>
      <c r="L10" s="40"/>
      <c r="M10" s="40"/>
      <c r="N10" s="40"/>
      <c r="O10" s="40"/>
      <c r="P10" s="41"/>
      <c r="Q10" s="29"/>
    </row>
    <row r="11" ht="9.75" customHeight="1">
      <c r="A11" s="29"/>
      <c r="B11" s="36"/>
      <c r="C11" s="46"/>
      <c r="D11" s="43"/>
      <c r="E11" s="47"/>
      <c r="F11" s="47"/>
      <c r="G11" s="45"/>
      <c r="H11" s="47"/>
      <c r="I11" s="47"/>
      <c r="J11" s="45"/>
      <c r="K11" s="47"/>
      <c r="L11" s="47"/>
      <c r="M11" s="40"/>
      <c r="N11" s="47"/>
      <c r="O11" s="47"/>
      <c r="P11" s="41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0.0" customHeight="1">
      <c r="A12" s="29"/>
      <c r="B12" s="36"/>
      <c r="C12" s="37" t="s">
        <v>53</v>
      </c>
      <c r="D12" s="43"/>
      <c r="E12" s="39" t="s">
        <v>10</v>
      </c>
      <c r="F12" s="6"/>
      <c r="G12" s="45"/>
      <c r="H12" s="39" t="s">
        <v>54</v>
      </c>
      <c r="I12" s="6"/>
      <c r="J12" s="45"/>
      <c r="K12" s="47"/>
      <c r="L12" s="47"/>
      <c r="M12" s="40"/>
      <c r="N12" s="47"/>
      <c r="O12" s="47"/>
      <c r="P12" s="41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0.0" customHeight="1">
      <c r="A13" s="29"/>
      <c r="B13" s="36"/>
      <c r="C13" s="48">
        <f>VLOOKUP('Historia de Usuario'!C10,'Formato descripción HU'!B6:O23,8,0)</f>
        <v>2</v>
      </c>
      <c r="D13" s="43"/>
      <c r="E13" s="44" t="str">
        <f>VLOOKUP(C10,'Formato descripción HU'!B6:O23,10,0)</f>
        <v>Alta</v>
      </c>
      <c r="F13" s="6"/>
      <c r="G13" s="45"/>
      <c r="H13" s="44" t="str">
        <f>VLOOKUP(C10,'Formato descripción HU'!B6:O23,7,0)</f>
        <v>Todo el grupo</v>
      </c>
      <c r="I13" s="6"/>
      <c r="J13" s="45"/>
      <c r="K13" s="47"/>
      <c r="L13" s="47"/>
      <c r="M13" s="40"/>
      <c r="N13" s="47"/>
      <c r="O13" s="47"/>
      <c r="P13" s="41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9.75" customHeight="1">
      <c r="A14" s="29"/>
      <c r="B14" s="36"/>
      <c r="C14" s="40"/>
      <c r="D14" s="43"/>
      <c r="E14" s="40"/>
      <c r="F14" s="40"/>
      <c r="G14" s="45"/>
      <c r="H14" s="45"/>
      <c r="I14" s="40"/>
      <c r="J14" s="40"/>
      <c r="K14" s="40"/>
      <c r="L14" s="40"/>
      <c r="M14" s="40"/>
      <c r="N14" s="40"/>
      <c r="O14" s="40"/>
      <c r="P14" s="41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9.5" customHeight="1">
      <c r="A15" s="29"/>
      <c r="B15" s="36"/>
      <c r="C15" s="49" t="s">
        <v>55</v>
      </c>
      <c r="D15" s="50" t="str">
        <f>VLOOKUP(C10,'Formato descripción HU'!B6:O23,3,0)</f>
        <v>Se necesita un mecanismo seguro de inicio de sesión.</v>
      </c>
      <c r="E15" s="51"/>
      <c r="F15" s="52"/>
      <c r="G15" s="49" t="s">
        <v>56</v>
      </c>
      <c r="H15" s="50" t="str">
        <f>VLOOKUP(C10,'Formato descripción HU'!B6:O23,4,0)</f>
        <v>Permitir el acceso controlado y seguro a las funciones del sistema</v>
      </c>
      <c r="I15" s="53"/>
      <c r="J15" s="51"/>
      <c r="K15" s="52"/>
      <c r="L15" s="49" t="s">
        <v>57</v>
      </c>
      <c r="M15" s="54" t="str">
        <f>VLOOKUP(C10,'Formato descripción HU'!B6:O23,6,0)</f>
        <v>1. Mostrar formulario. 2. Ingresar usuario/contraseña. 3. Validar credenciales. 4. Redirigir al panel principal.</v>
      </c>
      <c r="N15" s="53"/>
      <c r="O15" s="51"/>
      <c r="P15" s="41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9.5" customHeight="1">
      <c r="A16" s="29"/>
      <c r="B16" s="36"/>
      <c r="C16" s="55"/>
      <c r="D16" s="56"/>
      <c r="E16" s="57"/>
      <c r="F16" s="52"/>
      <c r="G16" s="55"/>
      <c r="H16" s="56"/>
      <c r="J16" s="57"/>
      <c r="K16" s="52"/>
      <c r="L16" s="55"/>
      <c r="M16" s="56"/>
      <c r="O16" s="57"/>
      <c r="P16" s="41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9.5" customHeight="1">
      <c r="A17" s="29"/>
      <c r="B17" s="36"/>
      <c r="C17" s="58"/>
      <c r="D17" s="59"/>
      <c r="E17" s="60"/>
      <c r="F17" s="52"/>
      <c r="G17" s="58"/>
      <c r="H17" s="59"/>
      <c r="I17" s="61"/>
      <c r="J17" s="60"/>
      <c r="K17" s="52"/>
      <c r="L17" s="58"/>
      <c r="M17" s="59"/>
      <c r="N17" s="61"/>
      <c r="O17" s="60"/>
      <c r="P17" s="41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9.75" customHeight="1">
      <c r="A18" s="29"/>
      <c r="B18" s="36"/>
      <c r="C18" s="40"/>
      <c r="D18" s="40"/>
      <c r="E18" s="40"/>
      <c r="F18" s="40"/>
      <c r="G18" s="45"/>
      <c r="H18" s="45"/>
      <c r="I18" s="45"/>
      <c r="J18" s="40"/>
      <c r="K18" s="40"/>
      <c r="L18" s="40"/>
      <c r="M18" s="40"/>
      <c r="N18" s="40"/>
      <c r="O18" s="40"/>
      <c r="P18" s="41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9.5" customHeight="1">
      <c r="B19" s="36"/>
      <c r="C19" s="62" t="s">
        <v>58</v>
      </c>
      <c r="D19" s="51"/>
      <c r="E19" s="63" t="str">
        <f>VLOOKUP(C10,'Formato descripción HU'!B6:O23,14,0)</f>
        <v>Inicio de Sesión del Sistema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41"/>
      <c r="Q19" s="29"/>
    </row>
    <row r="20" ht="19.5" customHeight="1">
      <c r="B20" s="36"/>
      <c r="C20" s="59"/>
      <c r="D20" s="60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41"/>
      <c r="Q20" s="29"/>
    </row>
    <row r="21" ht="9.75" customHeight="1">
      <c r="B21" s="36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29"/>
    </row>
    <row r="22" ht="19.5" customHeight="1">
      <c r="A22" s="29"/>
      <c r="B22" s="36"/>
      <c r="C22" s="69" t="s">
        <v>59</v>
      </c>
      <c r="D22" s="51"/>
      <c r="E22" s="70" t="str">
        <f>VLOOKUP(C10,'Formato descripción HU'!B6:O23,12,0)</f>
        <v>Se verifica ingresando credenciales válidas y accediendo al panel.  
Probar casos de error: campos vacíos, usuario incorrecto, contraseña incorrecta
</v>
      </c>
      <c r="F22" s="53"/>
      <c r="G22" s="53"/>
      <c r="H22" s="51"/>
      <c r="I22" s="40"/>
      <c r="J22" s="69" t="s">
        <v>13</v>
      </c>
      <c r="K22" s="51"/>
      <c r="L22" s="71" t="str">
        <f>VLOOKUP(C10,'Formato descripción HU'!B6:O23,13,0)</f>
        <v/>
      </c>
      <c r="M22" s="53"/>
      <c r="N22" s="53"/>
      <c r="O22" s="51"/>
      <c r="P22" s="41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9.5" customHeight="1">
      <c r="A23" s="29"/>
      <c r="B23" s="36"/>
      <c r="C23" s="56"/>
      <c r="D23" s="57"/>
      <c r="E23" s="56"/>
      <c r="H23" s="57"/>
      <c r="I23" s="40"/>
      <c r="J23" s="56"/>
      <c r="K23" s="57"/>
      <c r="L23" s="56"/>
      <c r="O23" s="57"/>
      <c r="P23" s="41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9.5" customHeight="1">
      <c r="A24" s="29"/>
      <c r="B24" s="36"/>
      <c r="C24" s="59"/>
      <c r="D24" s="60"/>
      <c r="E24" s="59"/>
      <c r="F24" s="61"/>
      <c r="G24" s="61"/>
      <c r="H24" s="60"/>
      <c r="I24" s="40"/>
      <c r="J24" s="59"/>
      <c r="K24" s="60"/>
      <c r="L24" s="59"/>
      <c r="M24" s="61"/>
      <c r="N24" s="61"/>
      <c r="O24" s="60"/>
      <c r="P24" s="41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9.75" customHeight="1">
      <c r="A25" s="29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4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9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9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9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9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9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9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9.5" customHeight="1"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ht="19.5" customHeight="1"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ht="19.5" customHeight="1"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ht="19.5" customHeight="1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9.5" customHeight="1"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ht="19.5" customHeight="1"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ht="19.5" customHeight="1"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9.5" customHeight="1"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ht="19.5" customHeight="1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ht="19.5" customHeight="1"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9.5" customHeight="1"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ht="19.5" customHeight="1"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ht="19.5" customHeight="1"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9.5" customHeight="1"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ht="19.5" customHeight="1"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ht="19.5" customHeight="1"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9.5" customHeight="1"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ht="19.5" customHeight="1"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ht="19.5" customHeight="1"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9.5" customHeight="1"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ht="19.5" customHeight="1"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5.75" customHeight="1"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HU'!$B$6:$B$23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