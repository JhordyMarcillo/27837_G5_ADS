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cer\Documents\ESPE\6to 7mo\Analisis y diseño\"/>
    </mc:Choice>
  </mc:AlternateContent>
  <xr:revisionPtr revIDLastSave="0" documentId="13_ncr:1_{4973CFD3-7601-492F-8FCB-EF0A29B6E7CA}" xr6:coauthVersionLast="47" xr6:coauthVersionMax="47" xr10:uidLastSave="{00000000-0000-0000-0000-000000000000}"/>
  <bookViews>
    <workbookView xWindow="-110" yWindow="-110" windowWidth="25820" windowHeight="16220" tabRatio="500" activeTab="1" xr2:uid="{00000000-000D-0000-FFFF-FFFF00000000}"/>
  </bookViews>
  <sheets>
    <sheet name="Backlog" sheetId="1" r:id="rId1"/>
    <sheet name="sprint0" sheetId="2" r:id="rId2"/>
    <sheet name="burdonchart" sheetId="3" r:id="rId3"/>
  </sheets>
  <calcPr calcId="191029" iterateDelta="1E-4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31" i="3" l="1"/>
  <c r="E31" i="3" s="1"/>
  <c r="F31" i="3" s="1"/>
  <c r="G31" i="3" s="1"/>
  <c r="H31" i="3" s="1"/>
  <c r="C31" i="3"/>
  <c r="C30" i="3"/>
  <c r="D30" i="3" s="1"/>
  <c r="E30" i="3" s="1"/>
  <c r="F30" i="3" s="1"/>
  <c r="G30" i="3" s="1"/>
  <c r="H30" i="3" s="1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</calcChain>
</file>

<file path=xl/sharedStrings.xml><?xml version="1.0" encoding="utf-8"?>
<sst xmlns="http://schemas.openxmlformats.org/spreadsheetml/2006/main" count="233" uniqueCount="116">
  <si>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</si>
  <si>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</si>
  <si>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</si>
  <si>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</si>
  <si>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</si>
  <si>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</si>
  <si>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</si>
  <si>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</si>
  <si>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RF9</t>
  </si>
  <si>
    <t>reportes de balances</t>
  </si>
  <si>
    <t>Tesorera, Coordinadora</t>
  </si>
  <si>
    <t>Generar reportes de balances</t>
  </si>
  <si>
    <t>Visualizar balances y estados finales</t>
  </si>
  <si>
    <t>Alta</t>
  </si>
  <si>
    <t>En Proceso</t>
  </si>
  <si>
    <t>RF12</t>
  </si>
  <si>
    <t xml:space="preserve">Gestionar Usuarios </t>
  </si>
  <si>
    <t>Tesorera</t>
  </si>
  <si>
    <t xml:space="preserve">Poder crear ,editar , y eliminar usuarios </t>
  </si>
  <si>
    <t>Mejorar administración y control de acceso</t>
  </si>
  <si>
    <t>RF4</t>
  </si>
  <si>
    <t>Categorizar donaciones</t>
  </si>
  <si>
    <t>Clasificar tipo de especie: ropa, alimentos, muebles, juguetes</t>
  </si>
  <si>
    <t>permite clasificar el tipo de donación en especie en: ropa, alimentos perecibles, no perecibles, muebles o juguetes</t>
  </si>
  <si>
    <t>Media</t>
  </si>
  <si>
    <t>RF10</t>
  </si>
  <si>
    <t>Exportar Reportes</t>
  </si>
  <si>
    <t>Coordinadora</t>
  </si>
  <si>
    <t>Exportar reportes en formatos PDF/Excel</t>
  </si>
  <si>
    <t>Permitir descarga y envío externo de datos</t>
  </si>
  <si>
    <t>Necesito</t>
  </si>
  <si>
    <t>así podre...</t>
  </si>
  <si>
    <t>encargado</t>
  </si>
  <si>
    <t>Prioridad</t>
  </si>
  <si>
    <t>Status</t>
  </si>
  <si>
    <t xml:space="preserve">Dennison	</t>
  </si>
  <si>
    <t>Integrar redirección</t>
  </si>
  <si>
    <t>Una redirección automática al panel principal tras login exitoso</t>
  </si>
  <si>
    <t>Acceder rápidamente al sistema después de autenticarme</t>
  </si>
  <si>
    <t>RF2</t>
  </si>
  <si>
    <t>Jeffrey</t>
  </si>
  <si>
    <t>RF3</t>
  </si>
  <si>
    <t>Jhordy</t>
  </si>
  <si>
    <t>Dennison</t>
  </si>
  <si>
    <t>Estimado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</si>
  <si>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</si>
  <si>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</si>
  <si>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</si>
  <si>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</si>
  <si>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</si>
  <si>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</si>
  <si>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</si>
  <si>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</si>
  <si>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Filtrado por fechas</t>
  </si>
  <si>
    <t>Tesorera/Coordinadora</t>
  </si>
  <si>
    <t>Seleccionar un rango de fecha de inicio y fin</t>
  </si>
  <si>
    <t>Delimitar el periodo específico del balance a analizar.</t>
  </si>
  <si>
    <t>Cálculo de totales</t>
  </si>
  <si>
    <t>Que el sistema calcule automáticamente la suma de ingresos y egresos</t>
  </si>
  <si>
    <t>Evitar errores manuales en la contabilidad.</t>
  </si>
  <si>
    <t>Visualización de saldos</t>
  </si>
  <si>
    <t>Ver el resultado final (Activos vs. Pasivos) en pantalla</t>
  </si>
  <si>
    <t>Conocer el estado financiero real de la organización.</t>
  </si>
  <si>
    <t>Listado de movimientos</t>
  </si>
  <si>
    <t>Una tabla detallada con cada transacción del periodo</t>
  </si>
  <si>
    <t>Identificar en qué se gastó o cómo ingresó el dinero específicamente.</t>
  </si>
  <si>
    <t>Listar usuarios</t>
  </si>
  <si>
    <t>Ver una lista de todos los usuarios registrados actualmente</t>
  </si>
  <si>
    <t>Tener un panorama general de quiénes tienen acceso al sistema.</t>
  </si>
  <si>
    <t>Crear usuario</t>
  </si>
  <si>
    <t>Un formulario para ingresar nombre, correo, rol y contraseña de un nuevo personal</t>
  </si>
  <si>
    <t>Dar acceso a nuevos miembros del equipo.</t>
  </si>
  <si>
    <t>Editar usuario</t>
  </si>
  <si>
    <t>Modificar datos existentes (como correos mal escritos o cambios de rol)</t>
  </si>
  <si>
    <t>Mantener la información del personal actualizada.</t>
  </si>
  <si>
    <t>Eliminar/Desactivar usuario</t>
  </si>
  <si>
    <t>Un botón para quitar el acceso a un usuario</t>
  </si>
  <si>
    <t>Revocar permisos a personal que ya no pertenece a la organización y mejorar la seguridad.</t>
  </si>
  <si>
    <t>Selección de categoría</t>
  </si>
  <si>
    <t>Un menú desplegable al registrar una donación</t>
  </si>
  <si>
    <t>Clasificar rápidamente sin tener que escribir manualmente el tipo.</t>
  </si>
  <si>
    <t>Clasificación de Alimentos</t>
  </si>
  <si>
    <t>Distinguir específicamente entre "Alimentos perecibles" y "No perecibles"</t>
  </si>
  <si>
    <t>Gestionar mejor el inventario y priorizar la salida de alimentos que caducan pronto.</t>
  </si>
  <si>
    <t>Clasificación de Enseres</t>
  </si>
  <si>
    <t>Categorizar items como "Muebles", "Ropa" o "Juguetes"</t>
  </si>
  <si>
    <t>Organizar el almacén físico según el tipo de bien recibido.</t>
  </si>
  <si>
    <t>Validación de categoría</t>
  </si>
  <si>
    <t>Que el sistema me obligue a elegir una categoría antes de guardar</t>
  </si>
  <si>
    <t>Asegurar que todas las donaciones registradas tengan una clasificación válida para reportes futuros.</t>
  </si>
  <si>
    <t>Generación de PDF</t>
  </si>
  <si>
    <t>Un botón para descargar el reporte de balance actual en formato PDF</t>
  </si>
  <si>
    <t>Imprimir el reporte o enviarlo formalmente por correo con un diseño no editable.</t>
  </si>
  <si>
    <t>Generación de Excel</t>
  </si>
  <si>
    <t>Un botón para descargar los datos en formato .xlsx (Excel)</t>
  </si>
  <si>
    <t>Manipular los datos, crear gráficos propios o realizar cálculos externos si es necesario.</t>
  </si>
  <si>
    <t>Descarga y Envío</t>
  </si>
  <si>
    <t>Que el archivo se descargue automáticamente en mi dispositivo</t>
  </si>
  <si>
    <t>Compartir la información financiera con externos o guardarla en mis archivos locales.</t>
  </si>
  <si>
    <t>RF 1</t>
  </si>
  <si>
    <t>RF 1.1</t>
  </si>
  <si>
    <t>RF 1.2</t>
  </si>
  <si>
    <t>RF 1.3</t>
  </si>
  <si>
    <t>RF 1.4</t>
  </si>
  <si>
    <t>RF 1.5</t>
  </si>
  <si>
    <t>RF 2.1</t>
  </si>
  <si>
    <t>RF 2.2</t>
  </si>
  <si>
    <t>RF 2.3</t>
  </si>
  <si>
    <t>RF 2.4</t>
  </si>
  <si>
    <t>RF 3.1</t>
  </si>
  <si>
    <t>RF 3.2</t>
  </si>
  <si>
    <t>RF 3.3</t>
  </si>
  <si>
    <t>RF 3.4</t>
  </si>
  <si>
    <t>RF 4.1</t>
  </si>
  <si>
    <t>RF 4.2</t>
  </si>
  <si>
    <t>RF 4.3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</si>
</sst>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charset val="1"/>
    </font>
    <font>
      <b/>
      <sz val="12"/>
      <color rgb="FFFF0000"/>
      <name val="Arial"/>
      <charset val="1"/>
    </font>
    <font>
      <sz val="12"/>
      <color rgb="FFFF0000"/>
      <name val="Arial"/>
      <charset val="1"/>
    </font>
    <font>
      <sz val="10"/>
      <color rgb="FF2F5496"/>
      <name val="Arial"/>
      <charset val="1"/>
    </font>
    <font>
      <sz val="10"/>
      <color rgb="FF0000FF"/>
      <name val="Arial"/>
      <charset val="1"/>
    </font>
    <font>
      <sz val="10"/>
      <color rgb="FF0000FF"/>
      <name val="Roboto"/>
      <charset val="1"/>
    </font>
    <font>
      <sz val="10"/>
      <color theme="1"/>
      <name val="Arial"/>
      <charset val="1"/>
    </font>
    <font>
      <b/>
      <sz val="10"/>
      <color theme="1"/>
      <name val="Arial"/>
      <charset val="1"/>
    </font>
    <font>
      <sz val="11"/>
      <color theme="1"/>
      <name val="Arial"/>
      <charset val="1"/>
    </font>
    <font>
      <sz val="10"/>
      <color rgb="FF0000FF"/>
      <name val="Arial"/>
      <family val="2"/>
    </font>
    <font>
      <sz val="10"/>
      <color rgb="FF2F5496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6AA84F"/>
        <bgColor rgb="FF8B8B8B"/>
      </patternFill>
    </fill>
    <fill>
      <patternFill patternType="solid">
        <fgColor rgb="FF00FF00"/>
        <bgColor rgb="FF33CCCC"/>
      </patternFill>
    </fill>
    <fill>
      <patternFill patternType="solid">
        <fgColor rgb="FFFF9900"/>
        <bgColor rgb="FFED7D3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3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8" fillId="0" borderId="0" xfId="0" applyFont="1"/>
    <xf numFmtId="0" fontId="6" fillId="0" borderId="0" xfId="0" applyFont="1"/>
    <xf numFmtId="0" fontId="6" fillId="3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0" fontId="6" fillId="4" borderId="0" xfId="0" applyFont="1" applyFill="1" applyAlignment="1">
      <alignment horizontal="right"/>
    </xf>
    <xf numFmtId="0" fontId="6" fillId="5" borderId="0" xfId="0" applyFont="1" applyFill="1"/>
    <xf numFmtId="0" fontId="6" fillId="5" borderId="0" xfId="0" applyFont="1" applyFill="1" applyAlignment="1">
      <alignment wrapText="1"/>
    </xf>
    <xf numFmtId="0" fontId="9" fillId="0" borderId="1" xfId="0" applyFont="1" applyBorder="1" applyAlignment="1">
      <alignment wrapText="1"/>
    </xf>
    <xf numFmtId="0" fontId="3" fillId="0" borderId="0" xfId="0" applyFont="1" applyBorder="1" applyAlignment="1">
      <alignment wrapText="1"/>
    </xf>
    <xf numFmtId="0" fontId="4" fillId="0" borderId="0" xfId="0" applyFont="1" applyBorder="1" applyAlignment="1">
      <alignment wrapText="1"/>
    </xf>
    <xf numFmtId="0" fontId="0" fillId="0" borderId="0" xfId="0" applyBorder="1"/>
    <xf numFmtId="0" fontId="8" fillId="0" borderId="0" xfId="0" applyFont="1" applyBorder="1"/>
    <xf numFmtId="0" fontId="10" fillId="0" borderId="1" xfId="0" applyFont="1" applyBorder="1" applyAlignment="1">
      <alignment wrapText="1"/>
    </xf>
    <xf numFmtId="0" fontId="11" fillId="0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B8B8B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6AA84F"/>
      <rgbColor rgb="FF003300"/>
      <rgbColor rgb="FF333300"/>
      <rgbColor rgb="FF993300"/>
      <rgbColor rgb="FF993366"/>
      <rgbColor rgb="FF2F5496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xMode val="edge"/>
          <c:yMode val="edge"/>
          <c:x val="0.13051968503937"/>
          <c:y val="5.7457212713936397E-2"/>
          <c:w val="0.86941732283464601"/>
          <c:h val="0.78983292583537101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burdonchart!$B$30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440">
              <a:solidFill>
                <a:srgbClr val="4472C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burdonchart!$C$30:$H$30</c:f>
              <c:numCache>
                <c:formatCode>General</c:formatCode>
                <c:ptCount val="6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89-4C89-ABCF-E68F1B72D6EB}"/>
            </c:ext>
          </c:extLst>
        </c:ser>
        <c:ser>
          <c:idx val="1"/>
          <c:order val="1"/>
          <c:tx>
            <c:strRef>
              <c:f>burdonchart!$B$31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440">
              <a:solidFill>
                <a:srgbClr val="ED7D31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MX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burdonchart!$C$31:$H$31</c:f>
              <c:numCache>
                <c:formatCode>General</c:formatCode>
                <c:ptCount val="6"/>
                <c:pt idx="0">
                  <c:v>5</c:v>
                </c:pt>
                <c:pt idx="1">
                  <c:v>4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89-4C89-ABCF-E68F1B72D6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2228991"/>
        <c:axId val="66862225"/>
      </c:lineChart>
      <c:catAx>
        <c:axId val="8222899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s-MX"/>
          </a:p>
        </c:txPr>
        <c:crossAx val="66862225"/>
        <c:crosses val="autoZero"/>
        <c:auto val="1"/>
        <c:lblAlgn val="ctr"/>
        <c:lblOffset val="100"/>
        <c:noMultiLvlLbl val="0"/>
      </c:catAx>
      <c:valAx>
        <c:axId val="66862225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000000"/>
                </a:solidFill>
                <a:latin typeface="Arial"/>
                <a:ea typeface="Arial"/>
              </a:defRPr>
            </a:pPr>
            <a:endParaRPr lang="es-MX"/>
          </a:p>
        </c:txPr>
        <c:crossAx val="8222899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1A1A1A"/>
              </a:solidFill>
              <a:latin typeface="Arial"/>
              <a:ea typeface="Arial"/>
            </a:defRPr>
          </a:pPr>
          <a:endParaRPr lang="es-MX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152280</xdr:colOff>
      <xdr:row>8</xdr:row>
      <xdr:rowOff>142920</xdr:rowOff>
    </xdr:from>
    <xdr:to>
      <xdr:col>15</xdr:col>
      <xdr:colOff>525240</xdr:colOff>
      <xdr:row>26</xdr:row>
      <xdr:rowOff>85320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I4:I6" headerRowCount="0" totalsRowShown="0">
  <tableColumns count="1">
    <tableColumn id="1" xr3:uid="{00000000-0010-0000-0000-000001000000}" name="Column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opLeftCell="B1" zoomScaleNormal="100" workbookViewId="0">
      <selection activeCell="B5" sqref="B5:E5"/>
    </sheetView>
  </sheetViews>
  <sheetFormatPr defaultColWidth="12.6328125" defaultRowHeight="12.5" x14ac:dyDescent="0.25"/>
  <cols>
    <col min="1" max="1" width="12.453125" customWidth="1"/>
    <col min="2" max="2" width="30.26953125" customWidth="1"/>
    <col min="3" max="3" width="36" customWidth="1"/>
    <col min="4" max="4" width="41.453125" customWidth="1"/>
    <col min="5" max="5" width="54.54296875" customWidth="1"/>
    <col min="6" max="26" width="12.453125" customWidth="1"/>
  </cols>
  <sheetData>
    <row r="1" spans="1:26" ht="15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3" x14ac:dyDescent="0.3">
      <c r="A2" s="3" t="s">
        <v>8</v>
      </c>
      <c r="B2" s="4" t="s">
        <v>9</v>
      </c>
      <c r="C2" s="4" t="s">
        <v>10</v>
      </c>
      <c r="D2" s="5" t="s">
        <v>11</v>
      </c>
      <c r="E2" s="4" t="s">
        <v>12</v>
      </c>
      <c r="F2" s="4"/>
      <c r="G2" s="4" t="s">
        <v>13</v>
      </c>
      <c r="H2" s="4" t="s">
        <v>14</v>
      </c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3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4"/>
      <c r="G3" s="4" t="s">
        <v>13</v>
      </c>
      <c r="H3" s="4" t="s">
        <v>14</v>
      </c>
    </row>
    <row r="4" spans="1:26" ht="25" x14ac:dyDescent="0.25">
      <c r="A4" s="3" t="s">
        <v>20</v>
      </c>
      <c r="B4" s="4" t="s">
        <v>21</v>
      </c>
      <c r="C4" s="4" t="s">
        <v>17</v>
      </c>
      <c r="D4" s="4" t="s">
        <v>22</v>
      </c>
      <c r="E4" s="4" t="s">
        <v>23</v>
      </c>
      <c r="F4" s="4"/>
      <c r="G4" s="4" t="s">
        <v>24</v>
      </c>
      <c r="H4" s="4" t="s">
        <v>14</v>
      </c>
    </row>
    <row r="5" spans="1:26" x14ac:dyDescent="0.25">
      <c r="A5" s="3" t="s">
        <v>25</v>
      </c>
      <c r="B5" s="4" t="s">
        <v>26</v>
      </c>
      <c r="C5" s="4" t="s">
        <v>27</v>
      </c>
      <c r="D5" s="4" t="s">
        <v>28</v>
      </c>
      <c r="E5" s="4" t="s">
        <v>29</v>
      </c>
      <c r="F5" s="4"/>
      <c r="G5" s="4" t="s">
        <v>24</v>
      </c>
      <c r="H5" s="4" t="s">
        <v>14</v>
      </c>
    </row>
    <row r="7" spans="1:26" ht="15.75" customHeight="1" x14ac:dyDescent="0.25">
      <c r="B7" s="7"/>
      <c r="C7" s="7"/>
      <c r="D7" s="7"/>
      <c r="E7" s="7"/>
      <c r="F7" s="7"/>
      <c r="G7" s="7"/>
      <c r="H7" s="7"/>
    </row>
    <row r="8" spans="1:26" ht="15.75" customHeight="1" x14ac:dyDescent="0.25">
      <c r="A8" s="7"/>
      <c r="B8" s="7"/>
      <c r="C8" s="7"/>
      <c r="D8" s="7"/>
      <c r="E8" s="7"/>
      <c r="F8" s="7"/>
      <c r="G8" s="7"/>
      <c r="H8" s="7"/>
    </row>
    <row r="9" spans="1:26" ht="15.75" customHeight="1" x14ac:dyDescent="0.25">
      <c r="A9" s="7"/>
      <c r="B9" s="7"/>
      <c r="C9" s="7"/>
      <c r="D9" s="7"/>
      <c r="E9" s="7"/>
      <c r="F9" s="7"/>
      <c r="G9" s="7"/>
      <c r="H9" s="7"/>
    </row>
    <row r="10" spans="1:26" ht="15.75" customHeight="1" x14ac:dyDescent="0.25">
      <c r="A10" s="7"/>
      <c r="B10" s="7"/>
      <c r="C10" s="7"/>
      <c r="D10" s="7"/>
      <c r="E10" s="7"/>
      <c r="F10" s="7"/>
      <c r="G10" s="7"/>
      <c r="H10" s="7"/>
    </row>
    <row r="11" spans="1:26" ht="15.75" customHeight="1" x14ac:dyDescent="0.25"/>
    <row r="12" spans="1:26" ht="15.75" customHeight="1" x14ac:dyDescent="0.25"/>
    <row r="13" spans="1:26" ht="15.75" customHeight="1" x14ac:dyDescent="0.25"/>
    <row r="14" spans="1:26" ht="15.75" customHeight="1" x14ac:dyDescent="0.25"/>
    <row r="15" spans="1:26" ht="15.75" customHeight="1" x14ac:dyDescent="0.25"/>
    <row r="16" spans="1:2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5"/>
  <sheetViews>
    <sheetView tabSelected="1" zoomScaleNormal="100" workbookViewId="0">
      <selection activeCell="C5" sqref="C5:C9"/>
    </sheetView>
  </sheetViews>
  <sheetFormatPr defaultColWidth="12.6328125" defaultRowHeight="12.5" x14ac:dyDescent="0.25"/>
  <cols>
    <col min="1" max="2" width="12.453125" customWidth="1"/>
    <col min="3" max="3" width="21.6328125" customWidth="1"/>
    <col min="4" max="4" width="24.08984375" customWidth="1"/>
    <col min="5" max="5" width="23.08984375" customWidth="1"/>
    <col min="6" max="6" width="56.08984375" customWidth="1"/>
    <col min="7" max="27" width="12.453125" customWidth="1"/>
  </cols>
  <sheetData>
    <row r="1" spans="1:27" ht="15.75" customHeight="1" x14ac:dyDescent="0.25"/>
    <row r="2" spans="1:27" ht="15.75" customHeight="1" x14ac:dyDescent="0.25"/>
    <row r="3" spans="1:27" ht="15.75" customHeight="1" x14ac:dyDescent="0.3">
      <c r="B3" s="8" t="s">
        <v>0</v>
      </c>
      <c r="C3" s="8" t="s">
        <v>1</v>
      </c>
      <c r="D3" s="8" t="s">
        <v>2</v>
      </c>
      <c r="E3" s="8" t="s">
        <v>30</v>
      </c>
      <c r="F3" s="8" t="s">
        <v>31</v>
      </c>
      <c r="G3" s="8" t="s">
        <v>32</v>
      </c>
      <c r="H3" s="8" t="s">
        <v>5</v>
      </c>
      <c r="I3" s="8" t="s">
        <v>33</v>
      </c>
      <c r="J3" s="8" t="s">
        <v>34</v>
      </c>
    </row>
    <row r="4" spans="1:27" ht="26" x14ac:dyDescent="0.3">
      <c r="A4" s="6"/>
      <c r="B4" s="16" t="s">
        <v>99</v>
      </c>
      <c r="C4" s="4" t="s">
        <v>9</v>
      </c>
      <c r="D4" s="4" t="s">
        <v>10</v>
      </c>
      <c r="E4" s="5" t="s">
        <v>11</v>
      </c>
      <c r="F4" s="4" t="s">
        <v>12</v>
      </c>
      <c r="G4" s="4" t="s">
        <v>35</v>
      </c>
      <c r="I4" s="4" t="s">
        <v>13</v>
      </c>
      <c r="J4" s="4" t="s">
        <v>14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spans="1:27" ht="25.5" x14ac:dyDescent="0.3">
      <c r="A5" s="6"/>
      <c r="B5" s="3" t="s">
        <v>100</v>
      </c>
      <c r="C5" s="4" t="s">
        <v>53</v>
      </c>
      <c r="D5" s="4" t="s">
        <v>54</v>
      </c>
      <c r="E5" s="4" t="s">
        <v>55</v>
      </c>
      <c r="F5" s="4" t="s">
        <v>56</v>
      </c>
      <c r="G5" s="4" t="s">
        <v>35</v>
      </c>
      <c r="I5" s="4" t="s">
        <v>13</v>
      </c>
      <c r="J5" s="4" t="s">
        <v>14</v>
      </c>
      <c r="K5" s="9">
        <v>2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spans="1:27" ht="50.5" x14ac:dyDescent="0.3">
      <c r="A6" s="6"/>
      <c r="B6" s="3" t="s">
        <v>101</v>
      </c>
      <c r="C6" s="4" t="s">
        <v>57</v>
      </c>
      <c r="D6" s="4" t="s">
        <v>54</v>
      </c>
      <c r="E6" s="4" t="s">
        <v>58</v>
      </c>
      <c r="F6" s="4" t="s">
        <v>59</v>
      </c>
      <c r="G6" s="4" t="s">
        <v>35</v>
      </c>
      <c r="I6" s="4" t="s">
        <v>13</v>
      </c>
      <c r="J6" s="4" t="s">
        <v>14</v>
      </c>
      <c r="K6" s="9">
        <v>3</v>
      </c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 spans="1:27" ht="38" x14ac:dyDescent="0.3">
      <c r="A7" s="6"/>
      <c r="B7" s="3" t="s">
        <v>102</v>
      </c>
      <c r="C7" s="4" t="s">
        <v>60</v>
      </c>
      <c r="D7" s="4" t="s">
        <v>54</v>
      </c>
      <c r="E7" s="4" t="s">
        <v>61</v>
      </c>
      <c r="F7" s="4" t="s">
        <v>62</v>
      </c>
      <c r="G7" s="4" t="s">
        <v>35</v>
      </c>
      <c r="I7" s="4" t="s">
        <v>13</v>
      </c>
      <c r="J7" s="4" t="s">
        <v>14</v>
      </c>
      <c r="K7" s="9">
        <v>2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 spans="1:27" ht="38" x14ac:dyDescent="0.3">
      <c r="A8" s="6"/>
      <c r="B8" s="3" t="s">
        <v>103</v>
      </c>
      <c r="C8" s="4" t="s">
        <v>63</v>
      </c>
      <c r="D8" s="4" t="s">
        <v>54</v>
      </c>
      <c r="E8" s="4" t="s">
        <v>64</v>
      </c>
      <c r="F8" s="4" t="s">
        <v>65</v>
      </c>
      <c r="G8" s="4" t="s">
        <v>35</v>
      </c>
      <c r="I8" s="4" t="s">
        <v>13</v>
      </c>
      <c r="J8" s="4" t="s">
        <v>14</v>
      </c>
      <c r="K8" s="9">
        <v>4</v>
      </c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spans="1:27" ht="37.5" x14ac:dyDescent="0.25">
      <c r="A9" s="6"/>
      <c r="B9" s="21" t="s">
        <v>104</v>
      </c>
      <c r="C9" s="4" t="s">
        <v>36</v>
      </c>
      <c r="D9" s="4" t="s">
        <v>10</v>
      </c>
      <c r="E9" s="4" t="s">
        <v>37</v>
      </c>
      <c r="F9" s="4" t="s">
        <v>38</v>
      </c>
      <c r="G9" s="4" t="s">
        <v>35</v>
      </c>
      <c r="I9" s="4" t="s">
        <v>13</v>
      </c>
      <c r="J9" s="4" t="s">
        <v>14</v>
      </c>
      <c r="K9" s="6">
        <v>3</v>
      </c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spans="1:27" ht="15.75" customHeight="1" x14ac:dyDescent="0.25">
      <c r="A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spans="1:27" ht="15.75" customHeight="1" x14ac:dyDescent="0.25">
      <c r="A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spans="1:27" ht="25" x14ac:dyDescent="0.25">
      <c r="A12" s="6"/>
      <c r="B12" s="3" t="s">
        <v>39</v>
      </c>
      <c r="C12" s="4" t="s">
        <v>16</v>
      </c>
      <c r="D12" s="4" t="s">
        <v>17</v>
      </c>
      <c r="E12" s="4" t="s">
        <v>18</v>
      </c>
      <c r="F12" s="4" t="s">
        <v>19</v>
      </c>
      <c r="G12" s="4" t="s">
        <v>40</v>
      </c>
      <c r="I12" s="4" t="s">
        <v>13</v>
      </c>
      <c r="J12" s="4" t="s">
        <v>14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spans="1:27" ht="39" x14ac:dyDescent="0.3">
      <c r="A13" s="6"/>
      <c r="B13" s="3" t="s">
        <v>105</v>
      </c>
      <c r="C13" s="4" t="s">
        <v>66</v>
      </c>
      <c r="D13" s="4" t="s">
        <v>17</v>
      </c>
      <c r="E13" s="5" t="s">
        <v>67</v>
      </c>
      <c r="F13" s="4" t="s">
        <v>68</v>
      </c>
      <c r="G13" s="4" t="s">
        <v>40</v>
      </c>
      <c r="I13" s="4" t="s">
        <v>13</v>
      </c>
      <c r="J13" s="4" t="s">
        <v>14</v>
      </c>
      <c r="K13" s="6">
        <v>2</v>
      </c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spans="1:27" ht="52" x14ac:dyDescent="0.3">
      <c r="A14" s="6"/>
      <c r="B14" s="3" t="s">
        <v>106</v>
      </c>
      <c r="C14" s="4" t="s">
        <v>69</v>
      </c>
      <c r="D14" s="4" t="s">
        <v>17</v>
      </c>
      <c r="E14" s="5" t="s">
        <v>70</v>
      </c>
      <c r="F14" s="4" t="s">
        <v>71</v>
      </c>
      <c r="G14" s="4" t="s">
        <v>40</v>
      </c>
      <c r="I14" s="4" t="s">
        <v>13</v>
      </c>
      <c r="J14" s="4" t="s">
        <v>14</v>
      </c>
      <c r="K14" s="6">
        <v>2</v>
      </c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spans="1:27" ht="38" x14ac:dyDescent="0.3">
      <c r="B15" s="3" t="s">
        <v>107</v>
      </c>
      <c r="C15" s="4" t="s">
        <v>72</v>
      </c>
      <c r="D15" s="4" t="s">
        <v>17</v>
      </c>
      <c r="E15" s="4" t="s">
        <v>73</v>
      </c>
      <c r="F15" s="4" t="s">
        <v>74</v>
      </c>
      <c r="G15" s="4" t="s">
        <v>40</v>
      </c>
      <c r="I15" s="4" t="s">
        <v>13</v>
      </c>
      <c r="J15" s="4" t="s">
        <v>14</v>
      </c>
      <c r="K15" s="9">
        <v>1</v>
      </c>
    </row>
    <row r="16" spans="1:27" ht="25.5" x14ac:dyDescent="0.3">
      <c r="B16" s="3" t="s">
        <v>108</v>
      </c>
      <c r="C16" s="4" t="s">
        <v>75</v>
      </c>
      <c r="D16" s="4" t="s">
        <v>17</v>
      </c>
      <c r="E16" s="4" t="s">
        <v>76</v>
      </c>
      <c r="F16" s="4" t="s">
        <v>77</v>
      </c>
      <c r="G16" s="4" t="s">
        <v>40</v>
      </c>
      <c r="I16" s="4" t="s">
        <v>13</v>
      </c>
      <c r="J16" s="4" t="s">
        <v>14</v>
      </c>
      <c r="K16" s="9">
        <v>1</v>
      </c>
    </row>
    <row r="17" spans="2:11" ht="14" x14ac:dyDescent="0.3">
      <c r="G17" s="4"/>
      <c r="I17" s="4"/>
      <c r="J17" s="4"/>
      <c r="K17" s="9"/>
    </row>
    <row r="19" spans="2:11" ht="37.5" x14ac:dyDescent="0.25">
      <c r="B19" s="3" t="s">
        <v>41</v>
      </c>
      <c r="C19" s="4" t="s">
        <v>21</v>
      </c>
      <c r="D19" s="4" t="s">
        <v>17</v>
      </c>
      <c r="E19" s="4" t="s">
        <v>22</v>
      </c>
      <c r="F19" s="4" t="s">
        <v>23</v>
      </c>
      <c r="G19" s="4" t="s">
        <v>42</v>
      </c>
      <c r="I19" s="4" t="s">
        <v>13</v>
      </c>
      <c r="J19" s="4" t="s">
        <v>14</v>
      </c>
    </row>
    <row r="20" spans="2:11" ht="26" x14ac:dyDescent="0.3">
      <c r="B20" s="3" t="s">
        <v>109</v>
      </c>
      <c r="C20" s="4" t="s">
        <v>78</v>
      </c>
      <c r="D20" s="4" t="s">
        <v>17</v>
      </c>
      <c r="E20" s="5" t="s">
        <v>79</v>
      </c>
      <c r="F20" s="4" t="s">
        <v>80</v>
      </c>
      <c r="G20" s="4" t="s">
        <v>42</v>
      </c>
      <c r="H20" s="8"/>
      <c r="I20" s="4" t="s">
        <v>13</v>
      </c>
      <c r="J20" s="4" t="s">
        <v>14</v>
      </c>
      <c r="K20" s="9">
        <v>2</v>
      </c>
    </row>
    <row r="21" spans="2:11" ht="52" x14ac:dyDescent="0.3">
      <c r="B21" s="3" t="s">
        <v>110</v>
      </c>
      <c r="C21" s="4" t="s">
        <v>81</v>
      </c>
      <c r="D21" s="4" t="s">
        <v>17</v>
      </c>
      <c r="E21" s="5" t="s">
        <v>82</v>
      </c>
      <c r="F21" s="4" t="s">
        <v>83</v>
      </c>
      <c r="G21" s="4" t="s">
        <v>42</v>
      </c>
      <c r="H21" s="8"/>
      <c r="I21" s="4" t="s">
        <v>13</v>
      </c>
      <c r="J21" s="4" t="s">
        <v>14</v>
      </c>
      <c r="K21" s="9">
        <v>1</v>
      </c>
    </row>
    <row r="22" spans="2:11" ht="38" x14ac:dyDescent="0.3">
      <c r="B22" s="3" t="s">
        <v>111</v>
      </c>
      <c r="C22" s="4" t="s">
        <v>84</v>
      </c>
      <c r="D22" s="4" t="s">
        <v>17</v>
      </c>
      <c r="E22" s="4" t="s">
        <v>85</v>
      </c>
      <c r="F22" s="4" t="s">
        <v>86</v>
      </c>
      <c r="G22" s="4" t="s">
        <v>42</v>
      </c>
      <c r="H22" s="8"/>
      <c r="I22" s="4" t="s">
        <v>13</v>
      </c>
      <c r="J22" s="4" t="s">
        <v>14</v>
      </c>
      <c r="K22" s="9">
        <v>1</v>
      </c>
    </row>
    <row r="23" spans="2:11" ht="38" x14ac:dyDescent="0.3">
      <c r="B23" s="3" t="s">
        <v>112</v>
      </c>
      <c r="C23" s="4" t="s">
        <v>87</v>
      </c>
      <c r="D23" s="4" t="s">
        <v>17</v>
      </c>
      <c r="E23" s="4" t="s">
        <v>88</v>
      </c>
      <c r="F23" s="4" t="s">
        <v>89</v>
      </c>
      <c r="G23" s="4" t="s">
        <v>42</v>
      </c>
      <c r="H23" s="8"/>
      <c r="I23" s="4" t="s">
        <v>13</v>
      </c>
      <c r="J23" s="4" t="s">
        <v>14</v>
      </c>
      <c r="K23" s="9">
        <v>2</v>
      </c>
    </row>
    <row r="24" spans="2:11" ht="15.75" customHeight="1" x14ac:dyDescent="0.25"/>
    <row r="25" spans="2:11" ht="25" x14ac:dyDescent="0.25">
      <c r="B25" s="21" t="s">
        <v>20</v>
      </c>
      <c r="C25" s="4" t="s">
        <v>26</v>
      </c>
      <c r="D25" s="4" t="s">
        <v>27</v>
      </c>
      <c r="E25" s="4" t="s">
        <v>28</v>
      </c>
      <c r="F25" s="4" t="s">
        <v>29</v>
      </c>
      <c r="G25" s="4" t="s">
        <v>43</v>
      </c>
      <c r="I25" s="4" t="s">
        <v>13</v>
      </c>
      <c r="J25" s="4" t="s">
        <v>14</v>
      </c>
    </row>
    <row r="26" spans="2:11" ht="38" x14ac:dyDescent="0.3">
      <c r="B26" s="3" t="s">
        <v>113</v>
      </c>
      <c r="C26" s="4" t="s">
        <v>90</v>
      </c>
      <c r="D26" s="4" t="s">
        <v>27</v>
      </c>
      <c r="E26" s="4" t="s">
        <v>91</v>
      </c>
      <c r="F26" s="4" t="s">
        <v>92</v>
      </c>
      <c r="G26" s="4" t="s">
        <v>43</v>
      </c>
      <c r="I26" s="4" t="s">
        <v>13</v>
      </c>
      <c r="J26" s="4" t="s">
        <v>14</v>
      </c>
      <c r="K26" s="9">
        <v>2</v>
      </c>
    </row>
    <row r="27" spans="2:11" ht="38" x14ac:dyDescent="0.3">
      <c r="B27" s="3" t="s">
        <v>114</v>
      </c>
      <c r="C27" s="4" t="s">
        <v>93</v>
      </c>
      <c r="D27" s="4" t="s">
        <v>27</v>
      </c>
      <c r="E27" s="4" t="s">
        <v>94</v>
      </c>
      <c r="F27" s="4" t="s">
        <v>95</v>
      </c>
      <c r="G27" s="4" t="s">
        <v>43</v>
      </c>
      <c r="I27" s="4" t="s">
        <v>13</v>
      </c>
      <c r="J27" s="4" t="s">
        <v>14</v>
      </c>
      <c r="K27" s="9">
        <v>2</v>
      </c>
    </row>
    <row r="28" spans="2:11" ht="50.5" x14ac:dyDescent="0.3">
      <c r="B28" s="3" t="s">
        <v>115</v>
      </c>
      <c r="C28" s="4" t="s">
        <v>96</v>
      </c>
      <c r="D28" s="4" t="s">
        <v>27</v>
      </c>
      <c r="E28" s="4" t="s">
        <v>97</v>
      </c>
      <c r="F28" s="4" t="s">
        <v>98</v>
      </c>
      <c r="G28" s="4" t="s">
        <v>43</v>
      </c>
      <c r="I28" s="4" t="s">
        <v>13</v>
      </c>
      <c r="J28" s="4" t="s">
        <v>14</v>
      </c>
      <c r="K28" s="9">
        <v>2</v>
      </c>
    </row>
    <row r="29" spans="2:11" ht="14" x14ac:dyDescent="0.3">
      <c r="B29" s="3"/>
      <c r="C29" s="4"/>
      <c r="D29" s="4"/>
      <c r="E29" s="4"/>
      <c r="F29" s="4"/>
      <c r="G29" s="4"/>
      <c r="I29" s="4"/>
      <c r="J29" s="4"/>
      <c r="K29" s="9"/>
    </row>
    <row r="30" spans="2:11" ht="15.75" customHeight="1" x14ac:dyDescent="0.25"/>
    <row r="31" spans="2:11" ht="15.75" customHeight="1" x14ac:dyDescent="0.25">
      <c r="B31" s="17"/>
      <c r="C31" s="18"/>
      <c r="D31" s="18"/>
      <c r="E31" s="18"/>
      <c r="F31" s="18"/>
      <c r="G31" s="18"/>
      <c r="H31" s="19"/>
      <c r="I31" s="18"/>
      <c r="J31" s="18"/>
      <c r="K31" s="19"/>
    </row>
    <row r="32" spans="2:11" ht="14" x14ac:dyDescent="0.3">
      <c r="B32" s="17"/>
      <c r="C32" s="18"/>
      <c r="D32" s="18"/>
      <c r="E32" s="18"/>
      <c r="F32" s="18"/>
      <c r="G32" s="18"/>
      <c r="H32" s="19"/>
      <c r="I32" s="18"/>
      <c r="J32" s="18"/>
      <c r="K32" s="20"/>
    </row>
    <row r="33" spans="2:11" ht="14" x14ac:dyDescent="0.3">
      <c r="B33" s="17"/>
      <c r="C33" s="18"/>
      <c r="D33" s="18"/>
      <c r="E33" s="18"/>
      <c r="F33" s="18"/>
      <c r="G33" s="18"/>
      <c r="H33" s="19"/>
      <c r="I33" s="18"/>
      <c r="J33" s="18"/>
      <c r="K33" s="20"/>
    </row>
    <row r="34" spans="2:11" ht="14" x14ac:dyDescent="0.3">
      <c r="B34" s="17"/>
      <c r="C34" s="18"/>
      <c r="D34" s="18"/>
      <c r="E34" s="18"/>
      <c r="F34" s="18"/>
      <c r="G34" s="18"/>
      <c r="H34" s="19"/>
      <c r="I34" s="18"/>
      <c r="J34" s="18"/>
      <c r="K34" s="20"/>
    </row>
    <row r="35" spans="2:11" ht="14" x14ac:dyDescent="0.3">
      <c r="B35" s="17"/>
      <c r="C35" s="18"/>
      <c r="D35" s="18"/>
      <c r="E35" s="18"/>
      <c r="F35" s="18"/>
      <c r="G35" s="18"/>
      <c r="H35" s="19"/>
      <c r="I35" s="18"/>
      <c r="J35" s="18"/>
      <c r="K35" s="20"/>
    </row>
    <row r="36" spans="2:11" ht="15.75" customHeight="1" x14ac:dyDescent="0.25"/>
    <row r="37" spans="2:11" ht="15.75" customHeight="1" x14ac:dyDescent="0.25"/>
    <row r="38" spans="2:11" ht="15.75" customHeight="1" x14ac:dyDescent="0.25"/>
    <row r="39" spans="2:11" ht="15.75" customHeight="1" x14ac:dyDescent="0.25"/>
    <row r="40" spans="2:11" ht="15.75" customHeight="1" x14ac:dyDescent="0.25"/>
    <row r="41" spans="2:11" ht="15.75" customHeight="1" x14ac:dyDescent="0.25"/>
    <row r="42" spans="2:11" ht="15.75" customHeight="1" x14ac:dyDescent="0.25"/>
    <row r="43" spans="2:11" ht="15.75" customHeight="1" x14ac:dyDescent="0.25"/>
    <row r="44" spans="2:11" ht="15.75" customHeight="1" x14ac:dyDescent="0.25"/>
    <row r="45" spans="2:11" ht="15.75" customHeight="1" x14ac:dyDescent="0.25"/>
    <row r="46" spans="2:11" ht="15.75" customHeight="1" x14ac:dyDescent="0.25"/>
    <row r="47" spans="2:11" ht="15.75" customHeight="1" x14ac:dyDescent="0.25"/>
    <row r="48" spans="2:1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</sheetData>
  <pageMargins left="0.7" right="0.7" top="0.75" bottom="0.75" header="0.511811023622047" footer="0.511811023622047"/>
  <pageSetup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00"/>
  <sheetViews>
    <sheetView zoomScaleNormal="100" workbookViewId="0">
      <selection activeCell="F29" sqref="F29"/>
    </sheetView>
  </sheetViews>
  <sheetFormatPr defaultColWidth="12.6328125" defaultRowHeight="12.5" x14ac:dyDescent="0.25"/>
  <cols>
    <col min="1" max="1" width="12.453125" customWidth="1"/>
    <col min="2" max="2" width="24.54296875" customWidth="1"/>
    <col min="3" max="9" width="12.453125" customWidth="1"/>
  </cols>
  <sheetData>
    <row r="1" spans="2:9" ht="15.75" customHeight="1" x14ac:dyDescent="0.25"/>
    <row r="2" spans="2:9" ht="15.75" customHeight="1" x14ac:dyDescent="0.25"/>
    <row r="3" spans="2:9" ht="15.75" customHeight="1" x14ac:dyDescent="0.25">
      <c r="B3" s="10"/>
      <c r="C3" s="10" t="s">
        <v>44</v>
      </c>
      <c r="D3" s="10" t="s">
        <v>45</v>
      </c>
      <c r="E3" s="10" t="s">
        <v>46</v>
      </c>
      <c r="F3" s="10" t="s">
        <v>47</v>
      </c>
      <c r="G3" s="10" t="s">
        <v>48</v>
      </c>
      <c r="H3" s="10" t="s">
        <v>49</v>
      </c>
      <c r="I3" s="10" t="s">
        <v>50</v>
      </c>
    </row>
    <row r="4" spans="2:9" ht="15.75" customHeight="1" x14ac:dyDescent="0.25">
      <c r="B4" s="3" t="s">
        <v>100</v>
      </c>
      <c r="C4" s="11">
        <v>2</v>
      </c>
      <c r="D4" s="12">
        <v>0</v>
      </c>
      <c r="E4" s="12">
        <v>0</v>
      </c>
      <c r="F4" s="12">
        <v>0</v>
      </c>
      <c r="G4" s="12">
        <v>0</v>
      </c>
      <c r="H4" s="12">
        <v>2</v>
      </c>
      <c r="I4" s="13">
        <f t="shared" ref="I4:I27" si="0">SUM(D4:H4)</f>
        <v>2</v>
      </c>
    </row>
    <row r="5" spans="2:9" ht="15.75" customHeight="1" x14ac:dyDescent="0.25">
      <c r="B5" s="3" t="s">
        <v>101</v>
      </c>
      <c r="C5" s="11">
        <v>3</v>
      </c>
      <c r="D5" s="12">
        <v>0</v>
      </c>
      <c r="E5" s="12">
        <v>0</v>
      </c>
      <c r="F5" s="12">
        <v>0</v>
      </c>
      <c r="G5" s="12">
        <v>1</v>
      </c>
      <c r="H5" s="12">
        <v>2</v>
      </c>
      <c r="I5" s="13">
        <f t="shared" si="0"/>
        <v>3</v>
      </c>
    </row>
    <row r="6" spans="2:9" ht="15.75" customHeight="1" x14ac:dyDescent="0.3">
      <c r="B6" s="3" t="s">
        <v>102</v>
      </c>
      <c r="C6" s="11">
        <v>2</v>
      </c>
      <c r="D6" s="9">
        <v>0</v>
      </c>
      <c r="E6" s="9">
        <v>0</v>
      </c>
      <c r="F6" s="9">
        <v>0</v>
      </c>
      <c r="G6" s="9">
        <v>0</v>
      </c>
      <c r="H6" s="9">
        <v>2</v>
      </c>
      <c r="I6" s="13">
        <f t="shared" si="0"/>
        <v>2</v>
      </c>
    </row>
    <row r="7" spans="2:9" ht="15.75" customHeight="1" x14ac:dyDescent="0.3">
      <c r="B7" s="3" t="s">
        <v>103</v>
      </c>
      <c r="C7" s="11">
        <v>4</v>
      </c>
      <c r="D7" s="9">
        <v>0</v>
      </c>
      <c r="E7" s="9">
        <v>0</v>
      </c>
      <c r="F7" s="9">
        <v>2</v>
      </c>
      <c r="G7" s="9">
        <v>2</v>
      </c>
      <c r="H7" s="9">
        <v>0</v>
      </c>
      <c r="I7" s="13">
        <f t="shared" si="0"/>
        <v>4</v>
      </c>
    </row>
    <row r="8" spans="2:9" ht="15.75" customHeight="1" x14ac:dyDescent="0.3">
      <c r="B8" s="21" t="s">
        <v>104</v>
      </c>
      <c r="C8" s="11">
        <v>3</v>
      </c>
      <c r="D8" s="9">
        <v>0</v>
      </c>
      <c r="E8" s="9">
        <v>0</v>
      </c>
      <c r="F8" s="9">
        <v>0</v>
      </c>
      <c r="G8" s="9">
        <v>3</v>
      </c>
      <c r="H8" s="9">
        <v>0</v>
      </c>
      <c r="I8" s="13">
        <f t="shared" si="0"/>
        <v>3</v>
      </c>
    </row>
    <row r="9" spans="2:9" ht="15.75" customHeight="1" x14ac:dyDescent="0.3">
      <c r="B9" s="3" t="s">
        <v>105</v>
      </c>
      <c r="C9" s="11">
        <v>2</v>
      </c>
      <c r="D9" s="9">
        <v>0</v>
      </c>
      <c r="E9" s="9">
        <v>0</v>
      </c>
      <c r="F9" s="9">
        <v>0</v>
      </c>
      <c r="G9" s="9">
        <v>2</v>
      </c>
      <c r="H9" s="9">
        <v>0</v>
      </c>
      <c r="I9" s="13">
        <f t="shared" si="0"/>
        <v>2</v>
      </c>
    </row>
    <row r="10" spans="2:9" ht="15.75" customHeight="1" x14ac:dyDescent="0.3">
      <c r="B10" s="3" t="s">
        <v>106</v>
      </c>
      <c r="C10" s="11">
        <v>2</v>
      </c>
      <c r="D10" s="9">
        <v>0</v>
      </c>
      <c r="E10" s="9">
        <v>0</v>
      </c>
      <c r="F10" s="9">
        <v>0</v>
      </c>
      <c r="G10" s="9">
        <v>2</v>
      </c>
      <c r="H10" s="9">
        <v>0</v>
      </c>
      <c r="I10" s="13">
        <f t="shared" si="0"/>
        <v>2</v>
      </c>
    </row>
    <row r="11" spans="2:9" ht="14" x14ac:dyDescent="0.3">
      <c r="B11" s="3" t="s">
        <v>107</v>
      </c>
      <c r="C11" s="11">
        <v>1</v>
      </c>
      <c r="D11" s="12">
        <v>0</v>
      </c>
      <c r="E11" s="9">
        <v>0</v>
      </c>
      <c r="F11" s="9">
        <v>0</v>
      </c>
      <c r="G11" s="9">
        <v>0</v>
      </c>
      <c r="H11" s="9">
        <v>1</v>
      </c>
      <c r="I11" s="13">
        <f t="shared" si="0"/>
        <v>1</v>
      </c>
    </row>
    <row r="12" spans="2:9" ht="15.75" customHeight="1" x14ac:dyDescent="0.3">
      <c r="B12" s="3" t="s">
        <v>108</v>
      </c>
      <c r="C12" s="11">
        <v>1</v>
      </c>
      <c r="D12" s="12">
        <v>0</v>
      </c>
      <c r="E12" s="9">
        <v>0</v>
      </c>
      <c r="F12" s="9">
        <v>0</v>
      </c>
      <c r="G12" s="9">
        <v>0</v>
      </c>
      <c r="H12" s="9">
        <v>1</v>
      </c>
      <c r="I12" s="13">
        <f t="shared" si="0"/>
        <v>1</v>
      </c>
    </row>
    <row r="13" spans="2:9" ht="15.75" customHeight="1" x14ac:dyDescent="0.3">
      <c r="B13" s="3" t="s">
        <v>109</v>
      </c>
      <c r="C13" s="11">
        <v>2</v>
      </c>
      <c r="D13" s="9">
        <v>0</v>
      </c>
      <c r="E13" s="9">
        <v>0</v>
      </c>
      <c r="F13" s="9">
        <v>2</v>
      </c>
      <c r="G13" s="9">
        <v>0</v>
      </c>
      <c r="H13" s="9">
        <v>0</v>
      </c>
      <c r="I13" s="13">
        <f t="shared" si="0"/>
        <v>2</v>
      </c>
    </row>
    <row r="14" spans="2:9" ht="15.75" customHeight="1" x14ac:dyDescent="0.3">
      <c r="B14" s="3" t="s">
        <v>110</v>
      </c>
      <c r="C14" s="11">
        <v>2</v>
      </c>
      <c r="D14" s="9">
        <v>0</v>
      </c>
      <c r="E14" s="9">
        <v>0</v>
      </c>
      <c r="F14" s="9">
        <v>2</v>
      </c>
      <c r="G14" s="9">
        <v>0</v>
      </c>
      <c r="H14" s="9">
        <v>0</v>
      </c>
      <c r="I14" s="13">
        <f t="shared" si="0"/>
        <v>2</v>
      </c>
    </row>
    <row r="15" spans="2:9" ht="15.75" customHeight="1" x14ac:dyDescent="0.3">
      <c r="B15" s="3" t="s">
        <v>111</v>
      </c>
      <c r="C15" s="11">
        <v>2</v>
      </c>
      <c r="D15" s="9">
        <v>0</v>
      </c>
      <c r="E15" s="9">
        <v>0</v>
      </c>
      <c r="F15" s="9">
        <v>2</v>
      </c>
      <c r="G15" s="9">
        <v>0</v>
      </c>
      <c r="H15" s="9">
        <v>0</v>
      </c>
      <c r="I15" s="13">
        <f t="shared" si="0"/>
        <v>2</v>
      </c>
    </row>
    <row r="16" spans="2:9" ht="15.75" customHeight="1" x14ac:dyDescent="0.3">
      <c r="B16" s="3" t="s">
        <v>112</v>
      </c>
      <c r="C16" s="11">
        <v>1</v>
      </c>
      <c r="D16" s="9">
        <v>0</v>
      </c>
      <c r="E16" s="9">
        <v>0</v>
      </c>
      <c r="F16" s="9">
        <v>1</v>
      </c>
      <c r="G16" s="9">
        <v>0</v>
      </c>
      <c r="H16" s="9">
        <v>0</v>
      </c>
      <c r="I16" s="13">
        <f t="shared" si="0"/>
        <v>1</v>
      </c>
    </row>
    <row r="17" spans="2:9" ht="15.75" customHeight="1" x14ac:dyDescent="0.3">
      <c r="B17" s="3" t="s">
        <v>113</v>
      </c>
      <c r="C17" s="11">
        <v>1</v>
      </c>
      <c r="D17" s="9">
        <v>0</v>
      </c>
      <c r="E17" s="9">
        <v>0</v>
      </c>
      <c r="F17" s="9">
        <v>1</v>
      </c>
      <c r="G17" s="9">
        <v>0</v>
      </c>
      <c r="H17" s="9">
        <v>0</v>
      </c>
      <c r="I17" s="13">
        <f t="shared" si="0"/>
        <v>1</v>
      </c>
    </row>
    <row r="18" spans="2:9" ht="15.75" customHeight="1" x14ac:dyDescent="0.3">
      <c r="B18" s="3" t="s">
        <v>114</v>
      </c>
      <c r="C18" s="11">
        <v>2</v>
      </c>
      <c r="D18" s="12">
        <v>0</v>
      </c>
      <c r="E18" s="9">
        <v>2</v>
      </c>
      <c r="F18" s="9">
        <v>0</v>
      </c>
      <c r="G18" s="9">
        <v>0</v>
      </c>
      <c r="H18" s="9">
        <v>0</v>
      </c>
      <c r="I18" s="13">
        <f t="shared" si="0"/>
        <v>2</v>
      </c>
    </row>
    <row r="19" spans="2:9" ht="15.75" customHeight="1" x14ac:dyDescent="0.3">
      <c r="B19" s="3" t="s">
        <v>115</v>
      </c>
      <c r="C19" s="11">
        <v>3</v>
      </c>
      <c r="D19" s="12">
        <v>0</v>
      </c>
      <c r="E19" s="9">
        <v>1</v>
      </c>
      <c r="F19" s="9">
        <v>2</v>
      </c>
      <c r="G19" s="9">
        <v>0</v>
      </c>
      <c r="H19" s="9">
        <v>0</v>
      </c>
      <c r="I19" s="13">
        <f t="shared" si="0"/>
        <v>3</v>
      </c>
    </row>
    <row r="20" spans="2:9" ht="15.75" customHeight="1" x14ac:dyDescent="0.3">
      <c r="B20" s="3" t="s">
        <v>113</v>
      </c>
      <c r="C20" s="11">
        <v>2</v>
      </c>
      <c r="D20" s="9">
        <v>0</v>
      </c>
      <c r="E20" s="9">
        <v>2</v>
      </c>
      <c r="F20" s="9">
        <v>0</v>
      </c>
      <c r="G20" s="9">
        <v>0</v>
      </c>
      <c r="H20" s="9">
        <v>0</v>
      </c>
      <c r="I20" s="13">
        <f t="shared" si="0"/>
        <v>2</v>
      </c>
    </row>
    <row r="21" spans="2:9" ht="15.75" customHeight="1" x14ac:dyDescent="0.3">
      <c r="B21" s="3" t="s">
        <v>114</v>
      </c>
      <c r="C21" s="11">
        <v>2</v>
      </c>
      <c r="D21" s="9">
        <v>0</v>
      </c>
      <c r="E21" s="9">
        <v>2</v>
      </c>
      <c r="F21" s="9">
        <v>0</v>
      </c>
      <c r="G21" s="9">
        <v>0</v>
      </c>
      <c r="H21" s="9">
        <v>0</v>
      </c>
      <c r="I21" s="13">
        <f t="shared" si="0"/>
        <v>2</v>
      </c>
    </row>
    <row r="22" spans="2:9" ht="15.75" customHeight="1" x14ac:dyDescent="0.3">
      <c r="B22" s="3" t="s">
        <v>115</v>
      </c>
      <c r="C22" s="11">
        <v>2</v>
      </c>
      <c r="D22" s="9">
        <v>0</v>
      </c>
      <c r="E22" s="9">
        <v>2</v>
      </c>
      <c r="F22" s="9">
        <v>0</v>
      </c>
      <c r="G22" s="9">
        <v>0</v>
      </c>
      <c r="H22" s="9">
        <v>0</v>
      </c>
      <c r="I22" s="13">
        <f t="shared" si="0"/>
        <v>2</v>
      </c>
    </row>
    <row r="23" spans="2:9" ht="15.75" customHeight="1" x14ac:dyDescent="0.3">
      <c r="B23" s="4"/>
      <c r="C23" s="9"/>
      <c r="D23" s="9"/>
      <c r="E23" s="9"/>
      <c r="F23" s="9"/>
      <c r="G23" s="9"/>
      <c r="H23" s="9"/>
      <c r="I23" s="22"/>
    </row>
    <row r="24" spans="2:9" ht="15.75" customHeight="1" x14ac:dyDescent="0.3">
      <c r="B24" s="4"/>
      <c r="C24" s="9"/>
      <c r="D24" s="9"/>
      <c r="E24" s="9"/>
      <c r="F24" s="9"/>
      <c r="G24" s="9"/>
      <c r="H24" s="9"/>
      <c r="I24" s="22"/>
    </row>
    <row r="25" spans="2:9" ht="15.75" customHeight="1" x14ac:dyDescent="0.3">
      <c r="B25" s="4"/>
      <c r="C25" s="9"/>
      <c r="D25" s="9"/>
      <c r="E25" s="9"/>
      <c r="F25" s="9"/>
      <c r="G25" s="9"/>
      <c r="H25" s="9"/>
      <c r="I25" s="22"/>
    </row>
    <row r="26" spans="2:9" ht="15.75" customHeight="1" x14ac:dyDescent="0.3">
      <c r="B26" s="4"/>
      <c r="C26" s="9"/>
      <c r="D26" s="9"/>
      <c r="E26" s="9"/>
      <c r="F26" s="9"/>
      <c r="G26" s="9"/>
      <c r="H26" s="9"/>
      <c r="I26" s="22"/>
    </row>
    <row r="27" spans="2:9" ht="15.75" customHeight="1" x14ac:dyDescent="0.3">
      <c r="B27" s="4"/>
      <c r="C27" s="9"/>
      <c r="D27" s="9"/>
      <c r="E27" s="9"/>
      <c r="F27" s="9"/>
      <c r="G27" s="9"/>
      <c r="H27" s="9"/>
      <c r="I27" s="22"/>
    </row>
    <row r="28" spans="2:9" ht="15.75" customHeight="1" x14ac:dyDescent="0.25"/>
    <row r="29" spans="2:9" ht="15.75" customHeight="1" x14ac:dyDescent="0.25"/>
    <row r="30" spans="2:9" x14ac:dyDescent="0.25">
      <c r="B30" s="14" t="s">
        <v>51</v>
      </c>
      <c r="C30" s="10">
        <f>SUM(C4:C5)</f>
        <v>5</v>
      </c>
      <c r="D30" s="10">
        <f>C30-SUM(D4:D5)</f>
        <v>5</v>
      </c>
      <c r="E30" s="10">
        <f>D30-SUM(E4:E5)</f>
        <v>5</v>
      </c>
      <c r="F30" s="10">
        <f>E30-SUM(F4:F5)</f>
        <v>5</v>
      </c>
      <c r="G30" s="10">
        <f>F30-SUM(G4:G5)</f>
        <v>4</v>
      </c>
      <c r="H30" s="10">
        <f>G30-SUM(H4:H5)</f>
        <v>0</v>
      </c>
    </row>
    <row r="31" spans="2:9" ht="25" x14ac:dyDescent="0.25">
      <c r="B31" s="15" t="s">
        <v>52</v>
      </c>
      <c r="C31" s="10">
        <f>SUM(C4:C5)</f>
        <v>5</v>
      </c>
      <c r="D31" s="10">
        <f>C31-(SUM(C4:C5)/5)</f>
        <v>4</v>
      </c>
      <c r="E31" s="10">
        <f>D31-(SUM(C4:C5)/5)</f>
        <v>3</v>
      </c>
      <c r="F31" s="10">
        <f>E31-(SUM(C4:C5)/5)</f>
        <v>2</v>
      </c>
      <c r="G31" s="10">
        <f>F31-(SUM(C4:C5)/5)</f>
        <v>1</v>
      </c>
      <c r="H31" s="10">
        <f>G31-(SUM(C4:C5)/5)</f>
        <v>0</v>
      </c>
    </row>
    <row r="32" spans="2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511811023622047" footer="0.511811023622047"/>
  <pageSetup orientation="landscape" horizontalDpi="300" verticalDpi="3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Backlog</vt:lpstr>
      <vt:lpstr>sprint0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Jhordy Marcillo</cp:lastModifiedBy>
  <cp:revision>1</cp:revision>
  <dcterms:modified xsi:type="dcterms:W3CDTF">2025-12-18T05:06:59Z</dcterms:modified>
  <dc:language>es-EC</dc:language>
</cp:coreProperties>
</file>