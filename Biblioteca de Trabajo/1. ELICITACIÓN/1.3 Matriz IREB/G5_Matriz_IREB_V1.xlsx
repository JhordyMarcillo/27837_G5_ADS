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nman\Desktop\UNIVERSIDAD - ESPE\sexto septimo\ANALISIS\27837_G5_ADS\Biblioteca de Trabajo\1. ELICITACIÓN\1.3 Matriz IREB\"/>
    </mc:Choice>
  </mc:AlternateContent>
  <xr:revisionPtr revIDLastSave="0" documentId="13_ncr:1_{5176E6DA-6ECF-493B-BBBA-119AA457E3F5}" xr6:coauthVersionLast="47" xr6:coauthVersionMax="47" xr10:uidLastSave="{00000000-0000-0000-0000-000000000000}"/>
  <bookViews>
    <workbookView xWindow="-110" yWindow="-110" windowWidth="19420" windowHeight="11020" firstSheet="3" activeTab="3" xr2:uid="{00000000-000D-0000-FFFF-FFFF00000000}"/>
  </bookViews>
  <sheets>
    <sheet name="Matriz Ckeck LIst" sheetId="1" r:id="rId1"/>
    <sheet name="MODELO DE LISTA DE COMPROBACION" sheetId="2" r:id="rId2"/>
    <sheet name="MODELO LISTA DE COMPROBACION" sheetId="3" r:id="rId3"/>
    <sheet name="MODELO LISTA DE COMPROBACION -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D27" i="4"/>
  <c r="D28" i="4" s="1"/>
  <c r="C27" i="4"/>
  <c r="C28" i="4" s="1"/>
  <c r="D17" i="4"/>
  <c r="D18" i="4" s="1"/>
  <c r="C17" i="4"/>
  <c r="C18" i="4" s="1"/>
  <c r="D35" i="3"/>
  <c r="D36" i="3" s="1"/>
  <c r="C35" i="3"/>
  <c r="C36" i="3" s="1"/>
  <c r="D27" i="3"/>
  <c r="D28" i="3" s="1"/>
  <c r="C27" i="3"/>
  <c r="C28" i="3" s="1"/>
  <c r="D17" i="3"/>
  <c r="D18" i="3" s="1"/>
  <c r="C17" i="3"/>
  <c r="C18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<sst xmlns="http://schemas.openxmlformats.org/spreadsheetml/2006/main" count="216" uniqueCount="73">
  <si>
    <t>MATRIZ PARA COMPROBACIÓN REQUERIMIENTOS DE CALIDAD DE PROYECTO ACADEMICO</t>
  </si>
  <si>
    <t>SISTEMA:</t>
  </si>
  <si>
    <t>SISTEMA CONTABLE DE UNA FUNDACIÓN (Contably)</t>
  </si>
  <si>
    <t>Requerimientos  Funcionales</t>
  </si>
  <si>
    <t>Nº</t>
  </si>
  <si>
    <t>CRITERIOS DE CALIDAD (Documento/Requerimientos)</t>
  </si>
  <si>
    <t>Status
Nivel de Acuerdo</t>
  </si>
  <si>
    <t xml:space="preserve">
CU8. Generar reportes de ingreso
</t>
  </si>
  <si>
    <t>CU7. Generar gráficos interactivos</t>
  </si>
  <si>
    <t>CU4. Registrar Egresos</t>
  </si>
  <si>
    <t>Agreed</t>
  </si>
  <si>
    <t>OK</t>
  </si>
  <si>
    <t>1. Videoconferencia de la entrevista
2. Minuta de la entrevista
3. Aceptación por videoconferencia</t>
  </si>
  <si>
    <t>Se cuenta con evidencia mediante videoconferencia, minuta de entrevista y aceptación del cliente respecto a la funcionalidad de registrar egresos.</t>
  </si>
  <si>
    <t>Ranked</t>
  </si>
  <si>
    <t>1. En la descripción de los requisitos funcionales se da una prioridad Media</t>
  </si>
  <si>
    <t>1. En la descripción de los requisitos funcionales se da una prioridad Alta</t>
  </si>
  <si>
    <t>El requisito tiene prioridad Alta, ya que el registro de egresos es esencial para el control financiero del sistema.</t>
  </si>
  <si>
    <t>Unambiguos</t>
  </si>
  <si>
    <t xml:space="preserve">1.  Redacción de forma que no haya dobles interpretaciones                                                                             2. Todos los involucrados  interpretan de forma clara </t>
  </si>
  <si>
    <t>Se especifican claramente los tipos de egresos, los datos requeridos y las condiciones de validación, evitando ambigüedades.</t>
  </si>
  <si>
    <t>Valid and up-to date</t>
  </si>
  <si>
    <t>1. Toda nueva información se ha corregido pertinentemente con respecto a la retroalimentación que nos ha brindado el cliente.</t>
  </si>
  <si>
    <t>Se realizaron los cambios en base a la retroalimentación reciente del cliente, incluyendo tipos de egreso (Proyectos, Rol de pagos, Presupuesto, Décimos).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</si>
  <si>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</si>
  <si>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</si>
  <si>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El requisito está alineado con los objetivos contables del sistema, reflejando una necesidad real del cliente (registro de salidas financieras).</t>
  </si>
  <si>
    <t>Consisten</t>
  </si>
  <si>
    <t xml:space="preserve">1. Documentación realizada utilizando Diagrama de Casos de Uso, Diagrama de clases
2. Los terminos y acrónimos están definidos claramente al inicio del  documento de requisitos.                                             </t>
  </si>
  <si>
    <t xml:space="preserve">1. Documentación realizada utilizando Daigrama de Flujos
2. Los terminos y acrónimos están definidos claramente al inicio del  documento de requisitos.                                             </t>
  </si>
  <si>
    <t>Mantiene coherencia con el caso de uso “Registrar Egresos (CU4)” y con la terminología general del sistema contable.</t>
  </si>
  <si>
    <t>Verifiable</t>
  </si>
  <si>
    <t>NOK</t>
  </si>
  <si>
    <t>No se han definido aún casos de prueba que verifiquen la correcta validación de campos o el almacenamiento de datos en la base. Se requiere documentación de pruebas.</t>
  </si>
  <si>
    <t>Realizable</t>
  </si>
  <si>
    <t>Traceable</t>
  </si>
  <si>
    <t>Complete</t>
  </si>
  <si>
    <t>Understandability</t>
  </si>
  <si>
    <t>FECHA:</t>
  </si>
  <si>
    <t>AUTOR:</t>
  </si>
  <si>
    <t>Dennison Chalacan, Jeffrey Manobanda, Jhordy Marcillo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</si>
  <si>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</si>
  <si>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</si>
  <si>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</si>
  <si>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</si>
  <si>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</si>
  <si>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</si>
  <si>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</si>
  <si>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</si>
  <si>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</si>
  <si>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</si>
  <si>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</si>
  <si>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</si>
  <si>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</si>
  <si>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</si>
  <si>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</si>
  <si>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</si>
  <si>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</si>
  <si>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</si>
  <si>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</si>
  <si>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</si>
  <si>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</si>
  <si>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</si>
  <si>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</si>
  <si>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</si>
  <si>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</si>
  <si>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</si>
  <si>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</si>
  <si>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</si>
  <si>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</si>
  <si>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CU8. Generar reportes de ingreso</t>
  </si>
  <si>
    <t xml:space="preserve"> </t>
  </si>
  <si>
    <t xml:space="preserve">1. Requisito No Medible    2. No se han realizado pruebas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</si>
</sst>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0" borderId="0" xfId="0" applyFont="1"/>
    <xf numFmtId="0" fontId="18" fillId="3" borderId="7" xfId="0" applyFont="1" applyFill="1" applyBorder="1" applyAlignment="1">
      <alignment horizontal="left" vertical="center" wrapText="1"/>
    </xf>
    <xf numFmtId="0" fontId="17" fillId="0" borderId="7" xfId="0" applyFont="1" applyBorder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</cellXfs>
  <cellStyles count="1">
    <cellStyle name="Normal" xfId="0" builtinId="0"/>
  </cellStyles>
  <dxfs count="51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DE LISTA DE COMPROBACION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MODELO DE LISTA DE COMPROBACION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MODELO DE LISTA DE COMPROBACION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MODELO LISTA DE COMPROBACION-style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MODELO LISTA DE COMPROBACION-style 2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MODELO LISTA DE COMPROBACION-style 3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MODELO LISTA DE COMPROBACION - -style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MODELO LISTA DE COMPROBACION - -style 2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MODELO LISTA DE COMPROBACION - -style 3" pivot="0" count="3" xr9:uid="{00000000-0011-0000-FFFF-FFFF08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D6D3-45B1-A5EA-7FD4A8DC6F8E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D6D3-45B1-A5EA-7FD4A8DC6F8E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D6D3-45B1-A5EA-7FD4A8DC6F8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DE LISTA DE COMPROBACION'!$B$41:$B$43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DE LISTA DE COMPROBACION'!$C$41:$C$43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D6D3-45B1-A5EA-7FD4A8DC6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62F9-4A74-B1A7-2EC64C47A26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62F9-4A74-B1A7-2EC64C47A26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62F9-4A74-B1A7-2EC64C47A26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62F9-4A74-B1A7-2EC64C47A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946-41C0-84BE-BF6EFD8608F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946-41C0-84BE-BF6EFD8608F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946-41C0-84BE-BF6EFD8608F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A946-41C0-84BE-BF6EFD860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DE LISTA DE COMPROBAC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DE LISTA DE COMPROBAC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DE LISTA DE COMPROBAC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MODELO LISTA DE COMPROBACIO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MODELO LISTA DE COMPROBACION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MODELO LISTA DE COMPROBACION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LISTA DE COMPROBACION - 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LISTA DE COMPROBACION - 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9" zoomScale="55" zoomScaleNormal="55" workbookViewId="0">
      <selection activeCell="M15" sqref="M15"/>
    </sheetView>
  </sheetViews>
  <sheetFormatPr baseColWidth="10" defaultColWidth="14.453125" defaultRowHeight="15" customHeight="1" x14ac:dyDescent="0.35"/>
  <cols>
    <col min="1" max="1" width="4.54296875" customWidth="1"/>
    <col min="2" max="2" width="4.453125" customWidth="1"/>
    <col min="3" max="3" width="3.7265625" customWidth="1"/>
    <col min="4" max="4" width="34.81640625" customWidth="1"/>
    <col min="5" max="5" width="9.7265625" customWidth="1"/>
    <col min="6" max="6" width="42.7265625" customWidth="1"/>
    <col min="7" max="7" width="10.08984375" customWidth="1"/>
    <col min="8" max="8" width="4.7265625" hidden="1" customWidth="1"/>
    <col min="9" max="9" width="42.7265625" customWidth="1"/>
    <col min="10" max="10" width="9.81640625" customWidth="1"/>
    <col min="11" max="11" width="39.54296875" customWidth="1"/>
  </cols>
  <sheetData>
    <row r="1" spans="2:11" ht="14.25" customHeight="1" x14ac:dyDescent="0.35">
      <c r="C1" s="1"/>
    </row>
    <row r="2" spans="2:11" ht="14.25" customHeight="1" x14ac:dyDescent="0.35">
      <c r="C2" s="1"/>
    </row>
    <row r="3" spans="2:11" ht="30" customHeight="1" x14ac:dyDescent="0.35">
      <c r="C3" s="40" t="s">
        <v>0</v>
      </c>
      <c r="D3" s="41"/>
      <c r="E3" s="41"/>
      <c r="F3" s="41"/>
      <c r="G3" s="41"/>
      <c r="H3" s="41"/>
      <c r="I3" s="41"/>
      <c r="J3" s="41"/>
      <c r="K3" s="41"/>
    </row>
    <row r="4" spans="2:11" ht="30" customHeight="1" x14ac:dyDescent="0.35">
      <c r="C4" s="41"/>
      <c r="D4" s="41"/>
      <c r="E4" s="41"/>
      <c r="F4" s="41"/>
      <c r="G4" s="41"/>
      <c r="H4" s="41"/>
      <c r="I4" s="41"/>
      <c r="J4" s="41"/>
      <c r="K4" s="41"/>
    </row>
    <row r="5" spans="2:11" ht="30" customHeight="1" x14ac:dyDescent="0.35">
      <c r="C5" s="2"/>
      <c r="D5" s="3" t="s">
        <v>1</v>
      </c>
      <c r="E5" s="42" t="s">
        <v>2</v>
      </c>
      <c r="F5" s="41"/>
      <c r="G5" s="41"/>
      <c r="H5" s="41"/>
      <c r="I5" s="41"/>
      <c r="J5" s="41"/>
      <c r="K5" s="41"/>
    </row>
    <row r="6" spans="2:11" ht="55.5" customHeight="1" x14ac:dyDescent="0.35">
      <c r="C6" s="1"/>
      <c r="F6" s="43" t="s">
        <v>3</v>
      </c>
      <c r="G6" s="44"/>
      <c r="H6" s="44"/>
      <c r="I6" s="44"/>
      <c r="J6" s="44"/>
      <c r="K6" s="45"/>
    </row>
    <row r="7" spans="2:11" ht="45" customHeight="1" x14ac:dyDescent="0.35">
      <c r="B7" s="39" t="s">
        <v>4</v>
      </c>
      <c r="C7" s="46" t="s">
        <v>5</v>
      </c>
      <c r="D7" s="47"/>
      <c r="E7" s="37" t="s">
        <v>6</v>
      </c>
      <c r="F7" s="39" t="s">
        <v>7</v>
      </c>
      <c r="G7" s="37" t="s">
        <v>6</v>
      </c>
      <c r="H7" s="4">
        <v>100</v>
      </c>
      <c r="I7" s="39" t="s">
        <v>8</v>
      </c>
      <c r="J7" s="37" t="s">
        <v>6</v>
      </c>
      <c r="K7" s="39" t="s">
        <v>9</v>
      </c>
    </row>
    <row r="8" spans="2:11" ht="60" customHeight="1" x14ac:dyDescent="0.35">
      <c r="B8" s="38"/>
      <c r="C8" s="48"/>
      <c r="D8" s="49"/>
      <c r="E8" s="38"/>
      <c r="F8" s="38"/>
      <c r="G8" s="38"/>
      <c r="H8" s="4">
        <v>0</v>
      </c>
      <c r="I8" s="38"/>
      <c r="J8" s="38"/>
      <c r="K8" s="38"/>
    </row>
    <row r="9" spans="2:11" ht="62" x14ac:dyDescent="0.35">
      <c r="B9" s="5">
        <v>1</v>
      </c>
      <c r="C9" s="50" t="s">
        <v>10</v>
      </c>
      <c r="D9" s="45"/>
      <c r="E9" s="6" t="s">
        <v>11</v>
      </c>
      <c r="F9" s="7" t="s">
        <v>12</v>
      </c>
      <c r="G9" s="6" t="s">
        <v>11</v>
      </c>
      <c r="H9" s="8">
        <v>1</v>
      </c>
      <c r="I9" s="7" t="s">
        <v>12</v>
      </c>
      <c r="J9" s="6" t="s">
        <v>11</v>
      </c>
      <c r="K9" s="7" t="s">
        <v>13</v>
      </c>
    </row>
    <row r="10" spans="2:11" ht="29.25" customHeight="1" x14ac:dyDescent="0.35">
      <c r="B10" s="5">
        <v>2</v>
      </c>
      <c r="C10" s="50" t="s">
        <v>14</v>
      </c>
      <c r="D10" s="45"/>
      <c r="E10" s="6" t="s">
        <v>11</v>
      </c>
      <c r="F10" s="9" t="s">
        <v>15</v>
      </c>
      <c r="G10" s="6" t="s">
        <v>11</v>
      </c>
      <c r="I10" s="9" t="s">
        <v>16</v>
      </c>
      <c r="J10" s="6" t="s">
        <v>11</v>
      </c>
      <c r="K10" s="9" t="s">
        <v>17</v>
      </c>
    </row>
    <row r="11" spans="2:11" ht="62" x14ac:dyDescent="0.35">
      <c r="B11" s="5">
        <v>3</v>
      </c>
      <c r="C11" s="50" t="s">
        <v>18</v>
      </c>
      <c r="D11" s="45"/>
      <c r="E11" s="6" t="s">
        <v>11</v>
      </c>
      <c r="F11" s="9" t="s">
        <v>19</v>
      </c>
      <c r="G11" s="6" t="s">
        <v>11</v>
      </c>
      <c r="I11" s="9" t="s">
        <v>19</v>
      </c>
      <c r="J11" s="6" t="s">
        <v>11</v>
      </c>
      <c r="K11" s="9" t="s">
        <v>20</v>
      </c>
    </row>
    <row r="12" spans="2:11" ht="62" x14ac:dyDescent="0.35">
      <c r="B12" s="5">
        <v>4</v>
      </c>
      <c r="C12" s="50" t="s">
        <v>21</v>
      </c>
      <c r="D12" s="45"/>
      <c r="E12" s="6" t="s">
        <v>11</v>
      </c>
      <c r="F12" s="10" t="s">
        <v>22</v>
      </c>
      <c r="G12" s="6" t="s">
        <v>11</v>
      </c>
      <c r="I12" s="10" t="s">
        <v>22</v>
      </c>
      <c r="J12" s="6" t="s">
        <v>11</v>
      </c>
      <c r="K12" s="10" t="s">
        <v>23</v>
      </c>
    </row>
    <row r="13" spans="2:11" ht="62" x14ac:dyDescent="0.35">
      <c r="B13" s="5">
        <v>5</v>
      </c>
      <c r="C13" s="50" t="s">
        <v>24</v>
      </c>
      <c r="D13" s="45"/>
      <c r="E13" s="6" t="s">
        <v>11</v>
      </c>
      <c r="F13" s="10" t="s">
        <v>25</v>
      </c>
      <c r="G13" s="6" t="s">
        <v>11</v>
      </c>
      <c r="I13" s="10" t="s">
        <v>25</v>
      </c>
      <c r="J13" s="6" t="s">
        <v>11</v>
      </c>
      <c r="K13" s="10" t="s">
        <v>26</v>
      </c>
    </row>
    <row r="14" spans="2:11" ht="93" x14ac:dyDescent="0.35">
      <c r="B14" s="5">
        <v>6</v>
      </c>
      <c r="C14" s="50" t="s">
        <v>27</v>
      </c>
      <c r="D14" s="45"/>
      <c r="E14" s="6" t="s">
        <v>11</v>
      </c>
      <c r="F14" s="10" t="s">
        <v>28</v>
      </c>
      <c r="G14" s="6" t="s">
        <v>11</v>
      </c>
      <c r="I14" s="10" t="s">
        <v>29</v>
      </c>
      <c r="J14" s="6" t="s">
        <v>11</v>
      </c>
      <c r="K14" s="10" t="s">
        <v>30</v>
      </c>
    </row>
    <row r="15" spans="2:11" ht="77.5" x14ac:dyDescent="0.35">
      <c r="B15" s="5">
        <v>7</v>
      </c>
      <c r="C15" s="50" t="s">
        <v>31</v>
      </c>
      <c r="D15" s="45"/>
      <c r="E15" s="11" t="s">
        <v>32</v>
      </c>
      <c r="F15" s="35" t="s">
        <v>72</v>
      </c>
      <c r="G15" s="11" t="s">
        <v>32</v>
      </c>
      <c r="I15" s="35" t="s">
        <v>72</v>
      </c>
      <c r="J15" s="11" t="s">
        <v>32</v>
      </c>
      <c r="K15" s="10" t="s">
        <v>33</v>
      </c>
    </row>
    <row r="16" spans="2:11" ht="21" x14ac:dyDescent="0.35">
      <c r="B16" s="5">
        <v>8</v>
      </c>
      <c r="C16" s="50" t="s">
        <v>34</v>
      </c>
      <c r="D16" s="45"/>
      <c r="E16" s="11" t="s">
        <v>32</v>
      </c>
      <c r="F16" s="10"/>
      <c r="G16" s="11"/>
      <c r="I16" s="10"/>
      <c r="J16" s="11"/>
      <c r="K16" s="10"/>
    </row>
    <row r="17" spans="2:11" ht="21" x14ac:dyDescent="0.35">
      <c r="B17" s="5">
        <v>9</v>
      </c>
      <c r="C17" s="50" t="s">
        <v>35</v>
      </c>
      <c r="D17" s="45"/>
      <c r="E17" s="6" t="s">
        <v>11</v>
      </c>
      <c r="F17" s="12"/>
      <c r="G17" s="6"/>
      <c r="I17" s="12"/>
      <c r="J17" s="6"/>
      <c r="K17" s="12"/>
    </row>
    <row r="18" spans="2:11" ht="21" x14ac:dyDescent="0.35">
      <c r="B18" s="5">
        <v>10</v>
      </c>
      <c r="C18" s="50" t="s">
        <v>36</v>
      </c>
      <c r="D18" s="45"/>
      <c r="E18" s="6" t="s">
        <v>11</v>
      </c>
      <c r="F18" s="10"/>
      <c r="G18" s="6"/>
      <c r="I18" s="10"/>
      <c r="J18" s="6"/>
      <c r="K18" s="10"/>
    </row>
    <row r="19" spans="2:11" ht="21" x14ac:dyDescent="0.35">
      <c r="B19" s="5">
        <v>11</v>
      </c>
      <c r="C19" s="50" t="s">
        <v>37</v>
      </c>
      <c r="D19" s="45"/>
      <c r="E19" s="6" t="s">
        <v>11</v>
      </c>
      <c r="F19" s="10"/>
      <c r="G19" s="6"/>
      <c r="I19" s="10"/>
      <c r="J19" s="6"/>
      <c r="K19" s="10"/>
    </row>
    <row r="20" spans="2:11" ht="14.25" customHeight="1" x14ac:dyDescent="0.35">
      <c r="C20" s="1"/>
    </row>
    <row r="21" spans="2:11" ht="14.25" customHeight="1" x14ac:dyDescent="0.35">
      <c r="C21" s="1"/>
    </row>
    <row r="22" spans="2:11" ht="14.25" customHeight="1" x14ac:dyDescent="0.35">
      <c r="C22" s="1"/>
    </row>
    <row r="23" spans="2:11" ht="14.25" customHeight="1" x14ac:dyDescent="0.35">
      <c r="C23" s="1"/>
    </row>
    <row r="24" spans="2:11" ht="14.25" customHeight="1" x14ac:dyDescent="0.35">
      <c r="C24" s="1"/>
    </row>
    <row r="25" spans="2:11" ht="14.25" customHeight="1" x14ac:dyDescent="0.35">
      <c r="C25" s="1"/>
    </row>
    <row r="26" spans="2:11" ht="14.25" customHeight="1" x14ac:dyDescent="0.35">
      <c r="C26" s="1"/>
    </row>
    <row r="27" spans="2:11" ht="14.25" customHeight="1" x14ac:dyDescent="0.35">
      <c r="C27" s="1"/>
    </row>
    <row r="28" spans="2:11" ht="14.25" customHeight="1" x14ac:dyDescent="0.35">
      <c r="C28" s="1"/>
    </row>
    <row r="29" spans="2:11" ht="14.25" customHeight="1" x14ac:dyDescent="0.35">
      <c r="C29" s="1"/>
    </row>
    <row r="30" spans="2:11" ht="14.25" customHeight="1" x14ac:dyDescent="0.35">
      <c r="C30" s="1"/>
    </row>
    <row r="31" spans="2:11" ht="14.25" customHeight="1" x14ac:dyDescent="0.35">
      <c r="C31" s="1"/>
    </row>
    <row r="32" spans="2:11" ht="14.25" customHeight="1" x14ac:dyDescent="0.35">
      <c r="C32" s="1"/>
    </row>
    <row r="33" spans="3:3" ht="14.25" customHeight="1" x14ac:dyDescent="0.35">
      <c r="C33" s="1"/>
    </row>
    <row r="34" spans="3:3" ht="14.25" customHeight="1" x14ac:dyDescent="0.35">
      <c r="C34" s="1"/>
    </row>
    <row r="35" spans="3:3" ht="14.25" customHeight="1" x14ac:dyDescent="0.35">
      <c r="C35" s="1"/>
    </row>
    <row r="36" spans="3:3" ht="14.25" customHeight="1" x14ac:dyDescent="0.35">
      <c r="C36" s="1"/>
    </row>
    <row r="37" spans="3:3" ht="14.25" customHeight="1" x14ac:dyDescent="0.35">
      <c r="C37" s="1"/>
    </row>
    <row r="38" spans="3:3" ht="14.25" customHeight="1" x14ac:dyDescent="0.35">
      <c r="C38" s="1"/>
    </row>
    <row r="39" spans="3:3" ht="14.25" customHeight="1" x14ac:dyDescent="0.35">
      <c r="C39" s="1"/>
    </row>
    <row r="40" spans="3:3" ht="14.25" customHeight="1" x14ac:dyDescent="0.35">
      <c r="C40" s="1"/>
    </row>
    <row r="41" spans="3:3" ht="14.25" customHeight="1" x14ac:dyDescent="0.35">
      <c r="C41" s="1"/>
    </row>
    <row r="42" spans="3:3" ht="14.25" customHeight="1" x14ac:dyDescent="0.35">
      <c r="C42" s="1"/>
    </row>
    <row r="43" spans="3:3" ht="14.25" customHeight="1" x14ac:dyDescent="0.35">
      <c r="C43" s="1"/>
    </row>
    <row r="44" spans="3:3" ht="14.25" customHeight="1" x14ac:dyDescent="0.35">
      <c r="C44" s="1"/>
    </row>
    <row r="45" spans="3:3" ht="14.25" customHeight="1" x14ac:dyDescent="0.35">
      <c r="C45" s="1"/>
    </row>
    <row r="46" spans="3:3" ht="14.25" customHeight="1" x14ac:dyDescent="0.35">
      <c r="C46" s="1"/>
    </row>
    <row r="47" spans="3:3" ht="14.25" customHeight="1" x14ac:dyDescent="0.35">
      <c r="C47" s="1"/>
    </row>
    <row r="48" spans="3:3" ht="14.25" customHeight="1" x14ac:dyDescent="0.35">
      <c r="C48" s="1"/>
    </row>
    <row r="49" spans="3:3" ht="14.25" customHeight="1" x14ac:dyDescent="0.35">
      <c r="C49" s="1"/>
    </row>
    <row r="50" spans="3:3" ht="14.25" customHeight="1" x14ac:dyDescent="0.35">
      <c r="C50" s="1"/>
    </row>
    <row r="51" spans="3:3" ht="14.25" customHeight="1" x14ac:dyDescent="0.35">
      <c r="C51" s="1"/>
    </row>
    <row r="52" spans="3:3" ht="14.25" customHeight="1" x14ac:dyDescent="0.35">
      <c r="C52" s="1"/>
    </row>
    <row r="53" spans="3:3" ht="14.25" customHeight="1" x14ac:dyDescent="0.35">
      <c r="C53" s="1"/>
    </row>
    <row r="54" spans="3:3" ht="14.25" customHeight="1" x14ac:dyDescent="0.35">
      <c r="C54" s="1"/>
    </row>
    <row r="55" spans="3:3" ht="14.25" customHeight="1" x14ac:dyDescent="0.35">
      <c r="C55" s="1"/>
    </row>
    <row r="56" spans="3:3" ht="14.25" customHeight="1" x14ac:dyDescent="0.35">
      <c r="C56" s="1"/>
    </row>
    <row r="57" spans="3:3" ht="14.25" customHeight="1" x14ac:dyDescent="0.35">
      <c r="C57" s="1"/>
    </row>
    <row r="58" spans="3:3" ht="14.25" customHeight="1" x14ac:dyDescent="0.35">
      <c r="C58" s="1"/>
    </row>
    <row r="59" spans="3:3" ht="14.25" customHeight="1" x14ac:dyDescent="0.35">
      <c r="C59" s="1"/>
    </row>
    <row r="60" spans="3:3" ht="14.25" customHeight="1" x14ac:dyDescent="0.35">
      <c r="C60" s="1"/>
    </row>
    <row r="61" spans="3:3" ht="14.25" customHeight="1" x14ac:dyDescent="0.35">
      <c r="C61" s="1"/>
    </row>
    <row r="62" spans="3:3" ht="14.25" customHeight="1" x14ac:dyDescent="0.35">
      <c r="C62" s="1"/>
    </row>
    <row r="63" spans="3:3" ht="14.25" customHeight="1" x14ac:dyDescent="0.35">
      <c r="C63" s="1"/>
    </row>
    <row r="64" spans="3:3" ht="14.25" customHeight="1" x14ac:dyDescent="0.35">
      <c r="C64" s="1"/>
    </row>
    <row r="65" spans="3:3" ht="14.25" customHeight="1" x14ac:dyDescent="0.35">
      <c r="C65" s="1"/>
    </row>
    <row r="66" spans="3:3" ht="14.25" customHeight="1" x14ac:dyDescent="0.35">
      <c r="C66" s="1"/>
    </row>
    <row r="67" spans="3:3" ht="14.25" customHeight="1" x14ac:dyDescent="0.35">
      <c r="C67" s="1"/>
    </row>
    <row r="68" spans="3:3" ht="14.25" customHeight="1" x14ac:dyDescent="0.35">
      <c r="C68" s="1"/>
    </row>
    <row r="69" spans="3:3" ht="14.25" customHeight="1" x14ac:dyDescent="0.35">
      <c r="C69" s="1"/>
    </row>
    <row r="70" spans="3:3" ht="14.25" customHeight="1" x14ac:dyDescent="0.35">
      <c r="C70" s="1"/>
    </row>
    <row r="71" spans="3:3" ht="14.25" customHeight="1" x14ac:dyDescent="0.35">
      <c r="C71" s="1"/>
    </row>
    <row r="72" spans="3:3" ht="14.25" customHeight="1" x14ac:dyDescent="0.35">
      <c r="C72" s="1"/>
    </row>
    <row r="73" spans="3:3" ht="14.25" customHeight="1" x14ac:dyDescent="0.35">
      <c r="C73" s="1"/>
    </row>
    <row r="74" spans="3:3" ht="14.25" customHeight="1" x14ac:dyDescent="0.35">
      <c r="C74" s="1"/>
    </row>
    <row r="75" spans="3:3" ht="14.25" customHeight="1" x14ac:dyDescent="0.35">
      <c r="C75" s="1"/>
    </row>
    <row r="76" spans="3:3" ht="14.25" customHeight="1" x14ac:dyDescent="0.35">
      <c r="C76" s="1"/>
    </row>
    <row r="77" spans="3:3" ht="14.25" customHeight="1" x14ac:dyDescent="0.35">
      <c r="C77" s="1"/>
    </row>
    <row r="78" spans="3:3" ht="14.25" customHeight="1" x14ac:dyDescent="0.35">
      <c r="C78" s="1"/>
    </row>
    <row r="79" spans="3:3" ht="14.25" customHeight="1" x14ac:dyDescent="0.35">
      <c r="C79" s="1"/>
    </row>
    <row r="80" spans="3:3" ht="14.25" customHeight="1" x14ac:dyDescent="0.35">
      <c r="C80" s="1"/>
    </row>
    <row r="81" spans="3:3" ht="14.25" customHeight="1" x14ac:dyDescent="0.35">
      <c r="C81" s="1"/>
    </row>
    <row r="82" spans="3:3" ht="14.25" customHeight="1" x14ac:dyDescent="0.35">
      <c r="C82" s="1"/>
    </row>
    <row r="83" spans="3:3" ht="14.25" customHeight="1" x14ac:dyDescent="0.35">
      <c r="C83" s="1"/>
    </row>
    <row r="84" spans="3:3" ht="14.25" customHeight="1" x14ac:dyDescent="0.35">
      <c r="C84" s="1"/>
    </row>
    <row r="85" spans="3:3" ht="14.25" customHeight="1" x14ac:dyDescent="0.35">
      <c r="C85" s="1"/>
    </row>
    <row r="86" spans="3:3" ht="14.25" customHeight="1" x14ac:dyDescent="0.35">
      <c r="C86" s="1"/>
    </row>
    <row r="87" spans="3:3" ht="14.25" customHeight="1" x14ac:dyDescent="0.35">
      <c r="C87" s="1"/>
    </row>
    <row r="88" spans="3:3" ht="14.25" customHeight="1" x14ac:dyDescent="0.35">
      <c r="C88" s="1"/>
    </row>
    <row r="89" spans="3:3" ht="14.25" customHeight="1" x14ac:dyDescent="0.35">
      <c r="C89" s="1"/>
    </row>
    <row r="90" spans="3:3" ht="14.25" customHeight="1" x14ac:dyDescent="0.35">
      <c r="C90" s="1"/>
    </row>
    <row r="91" spans="3:3" ht="14.25" customHeight="1" x14ac:dyDescent="0.35">
      <c r="C91" s="1"/>
    </row>
    <row r="92" spans="3:3" ht="14.25" customHeight="1" x14ac:dyDescent="0.35">
      <c r="C92" s="1"/>
    </row>
    <row r="93" spans="3:3" ht="14.25" customHeight="1" x14ac:dyDescent="0.35">
      <c r="C93" s="1"/>
    </row>
    <row r="94" spans="3:3" ht="14.25" customHeight="1" x14ac:dyDescent="0.35">
      <c r="C94" s="1"/>
    </row>
    <row r="95" spans="3:3" ht="14.25" customHeight="1" x14ac:dyDescent="0.35">
      <c r="C95" s="1"/>
    </row>
    <row r="96" spans="3:3" ht="14.25" customHeight="1" x14ac:dyDescent="0.35">
      <c r="C96" s="1"/>
    </row>
    <row r="97" spans="3:3" ht="14.25" customHeight="1" x14ac:dyDescent="0.35">
      <c r="C97" s="1"/>
    </row>
    <row r="98" spans="3:3" ht="14.25" customHeight="1" x14ac:dyDescent="0.35">
      <c r="C98" s="1"/>
    </row>
    <row r="99" spans="3:3" ht="14.25" customHeight="1" x14ac:dyDescent="0.35">
      <c r="C99" s="1"/>
    </row>
    <row r="100" spans="3:3" ht="14.25" customHeight="1" x14ac:dyDescent="0.35">
      <c r="C100" s="1"/>
    </row>
    <row r="101" spans="3:3" ht="14.25" customHeight="1" x14ac:dyDescent="0.35">
      <c r="C101" s="1"/>
    </row>
    <row r="102" spans="3:3" ht="14.25" customHeight="1" x14ac:dyDescent="0.35">
      <c r="C102" s="1"/>
    </row>
    <row r="103" spans="3:3" ht="14.25" customHeight="1" x14ac:dyDescent="0.35">
      <c r="C103" s="1"/>
    </row>
    <row r="104" spans="3:3" ht="14.25" customHeight="1" x14ac:dyDescent="0.35">
      <c r="C104" s="1"/>
    </row>
    <row r="105" spans="3:3" ht="14.25" customHeight="1" x14ac:dyDescent="0.35">
      <c r="C105" s="1"/>
    </row>
    <row r="106" spans="3:3" ht="14.25" customHeight="1" x14ac:dyDescent="0.35">
      <c r="C106" s="1"/>
    </row>
    <row r="107" spans="3:3" ht="14.25" customHeight="1" x14ac:dyDescent="0.35">
      <c r="C107" s="1"/>
    </row>
    <row r="108" spans="3:3" ht="14.25" customHeight="1" x14ac:dyDescent="0.35">
      <c r="C108" s="1"/>
    </row>
    <row r="109" spans="3:3" ht="14.25" customHeight="1" x14ac:dyDescent="0.35">
      <c r="C109" s="1"/>
    </row>
    <row r="110" spans="3:3" ht="14.25" customHeight="1" x14ac:dyDescent="0.35">
      <c r="C110" s="1"/>
    </row>
    <row r="111" spans="3:3" ht="14.25" customHeight="1" x14ac:dyDescent="0.35">
      <c r="C111" s="1"/>
    </row>
    <row r="112" spans="3:3" ht="14.25" customHeight="1" x14ac:dyDescent="0.35">
      <c r="C112" s="1"/>
    </row>
    <row r="113" spans="3:3" ht="14.25" customHeight="1" x14ac:dyDescent="0.35">
      <c r="C113" s="1"/>
    </row>
    <row r="114" spans="3:3" ht="14.25" customHeight="1" x14ac:dyDescent="0.35">
      <c r="C114" s="1"/>
    </row>
    <row r="115" spans="3:3" ht="14.25" customHeight="1" x14ac:dyDescent="0.35">
      <c r="C115" s="1"/>
    </row>
    <row r="116" spans="3:3" ht="14.25" customHeight="1" x14ac:dyDescent="0.35">
      <c r="C116" s="1"/>
    </row>
    <row r="117" spans="3:3" ht="14.25" customHeight="1" x14ac:dyDescent="0.35">
      <c r="C117" s="1"/>
    </row>
    <row r="118" spans="3:3" ht="14.25" customHeight="1" x14ac:dyDescent="0.35">
      <c r="C118" s="1"/>
    </row>
    <row r="119" spans="3:3" ht="14.25" customHeight="1" x14ac:dyDescent="0.35">
      <c r="C119" s="1"/>
    </row>
    <row r="120" spans="3:3" ht="14.25" customHeight="1" x14ac:dyDescent="0.35">
      <c r="C120" s="1"/>
    </row>
    <row r="121" spans="3:3" ht="14.25" customHeight="1" x14ac:dyDescent="0.35">
      <c r="C121" s="1"/>
    </row>
    <row r="122" spans="3:3" ht="14.25" customHeight="1" x14ac:dyDescent="0.35">
      <c r="C122" s="1"/>
    </row>
    <row r="123" spans="3:3" ht="14.25" customHeight="1" x14ac:dyDescent="0.35">
      <c r="C123" s="1"/>
    </row>
    <row r="124" spans="3:3" ht="14.25" customHeight="1" x14ac:dyDescent="0.35">
      <c r="C124" s="1"/>
    </row>
    <row r="125" spans="3:3" ht="14.25" customHeight="1" x14ac:dyDescent="0.35">
      <c r="C125" s="1"/>
    </row>
    <row r="126" spans="3:3" ht="14.25" customHeight="1" x14ac:dyDescent="0.35">
      <c r="C126" s="1"/>
    </row>
    <row r="127" spans="3:3" ht="14.25" customHeight="1" x14ac:dyDescent="0.35">
      <c r="C127" s="1"/>
    </row>
    <row r="128" spans="3:3" ht="14.25" customHeight="1" x14ac:dyDescent="0.35">
      <c r="C128" s="1"/>
    </row>
    <row r="129" spans="3:3" ht="14.25" customHeight="1" x14ac:dyDescent="0.35">
      <c r="C129" s="1"/>
    </row>
    <row r="130" spans="3:3" ht="14.25" customHeight="1" x14ac:dyDescent="0.35">
      <c r="C130" s="1"/>
    </row>
    <row r="131" spans="3:3" ht="14.25" customHeight="1" x14ac:dyDescent="0.35">
      <c r="C131" s="1"/>
    </row>
    <row r="132" spans="3:3" ht="14.25" customHeight="1" x14ac:dyDescent="0.35">
      <c r="C132" s="1"/>
    </row>
    <row r="133" spans="3:3" ht="14.25" customHeight="1" x14ac:dyDescent="0.35">
      <c r="C133" s="1"/>
    </row>
    <row r="134" spans="3:3" ht="14.25" customHeight="1" x14ac:dyDescent="0.35">
      <c r="C134" s="1"/>
    </row>
    <row r="135" spans="3:3" ht="14.25" customHeight="1" x14ac:dyDescent="0.35">
      <c r="C135" s="1"/>
    </row>
    <row r="136" spans="3:3" ht="14.25" customHeight="1" x14ac:dyDescent="0.35">
      <c r="C136" s="1"/>
    </row>
    <row r="137" spans="3:3" ht="14.25" customHeight="1" x14ac:dyDescent="0.35">
      <c r="C137" s="1"/>
    </row>
    <row r="138" spans="3:3" ht="14.25" customHeight="1" x14ac:dyDescent="0.35">
      <c r="C138" s="1"/>
    </row>
    <row r="139" spans="3:3" ht="14.25" customHeight="1" x14ac:dyDescent="0.35">
      <c r="C139" s="1"/>
    </row>
    <row r="140" spans="3:3" ht="14.25" customHeight="1" x14ac:dyDescent="0.35">
      <c r="C140" s="1"/>
    </row>
    <row r="141" spans="3:3" ht="14.25" customHeight="1" x14ac:dyDescent="0.35">
      <c r="C141" s="1"/>
    </row>
    <row r="142" spans="3:3" ht="14.25" customHeight="1" x14ac:dyDescent="0.35">
      <c r="C142" s="1"/>
    </row>
    <row r="143" spans="3:3" ht="14.25" customHeight="1" x14ac:dyDescent="0.35">
      <c r="C143" s="1"/>
    </row>
    <row r="144" spans="3:3" ht="14.25" customHeight="1" x14ac:dyDescent="0.35">
      <c r="C144" s="1"/>
    </row>
    <row r="145" spans="3:3" ht="14.25" customHeight="1" x14ac:dyDescent="0.35">
      <c r="C145" s="1"/>
    </row>
    <row r="146" spans="3:3" ht="14.25" customHeight="1" x14ac:dyDescent="0.35">
      <c r="C146" s="1"/>
    </row>
    <row r="147" spans="3:3" ht="14.25" customHeight="1" x14ac:dyDescent="0.35">
      <c r="C147" s="1"/>
    </row>
    <row r="148" spans="3:3" ht="14.25" customHeight="1" x14ac:dyDescent="0.35">
      <c r="C148" s="1"/>
    </row>
    <row r="149" spans="3:3" ht="14.25" customHeight="1" x14ac:dyDescent="0.35">
      <c r="C149" s="1"/>
    </row>
    <row r="150" spans="3:3" ht="14.25" customHeight="1" x14ac:dyDescent="0.35">
      <c r="C150" s="1"/>
    </row>
    <row r="151" spans="3:3" ht="14.25" customHeight="1" x14ac:dyDescent="0.35">
      <c r="C151" s="1"/>
    </row>
    <row r="152" spans="3:3" ht="14.25" customHeight="1" x14ac:dyDescent="0.35">
      <c r="C152" s="1"/>
    </row>
    <row r="153" spans="3:3" ht="14.25" customHeight="1" x14ac:dyDescent="0.35">
      <c r="C153" s="1"/>
    </row>
    <row r="154" spans="3:3" ht="14.25" customHeight="1" x14ac:dyDescent="0.35">
      <c r="C154" s="1"/>
    </row>
    <row r="155" spans="3:3" ht="14.25" customHeight="1" x14ac:dyDescent="0.35">
      <c r="C155" s="1"/>
    </row>
    <row r="156" spans="3:3" ht="14.25" customHeight="1" x14ac:dyDescent="0.35">
      <c r="C156" s="1"/>
    </row>
    <row r="157" spans="3:3" ht="14.25" customHeight="1" x14ac:dyDescent="0.35">
      <c r="C157" s="1"/>
    </row>
    <row r="158" spans="3:3" ht="14.25" customHeight="1" x14ac:dyDescent="0.35">
      <c r="C158" s="1"/>
    </row>
    <row r="159" spans="3:3" ht="14.25" customHeight="1" x14ac:dyDescent="0.35">
      <c r="C159" s="1"/>
    </row>
    <row r="160" spans="3:3" ht="14.25" customHeight="1" x14ac:dyDescent="0.35">
      <c r="C160" s="1"/>
    </row>
    <row r="161" spans="3:3" ht="14.25" customHeight="1" x14ac:dyDescent="0.35">
      <c r="C161" s="1"/>
    </row>
    <row r="162" spans="3:3" ht="14.25" customHeight="1" x14ac:dyDescent="0.35">
      <c r="C162" s="1"/>
    </row>
    <row r="163" spans="3:3" ht="14.25" customHeight="1" x14ac:dyDescent="0.35">
      <c r="C163" s="1"/>
    </row>
    <row r="164" spans="3:3" ht="14.25" customHeight="1" x14ac:dyDescent="0.35">
      <c r="C164" s="1"/>
    </row>
    <row r="165" spans="3:3" ht="14.25" customHeight="1" x14ac:dyDescent="0.35">
      <c r="C165" s="1"/>
    </row>
    <row r="166" spans="3:3" ht="14.25" customHeight="1" x14ac:dyDescent="0.35">
      <c r="C166" s="1"/>
    </row>
    <row r="167" spans="3:3" ht="14.25" customHeight="1" x14ac:dyDescent="0.35">
      <c r="C167" s="1"/>
    </row>
    <row r="168" spans="3:3" ht="14.25" customHeight="1" x14ac:dyDescent="0.35">
      <c r="C168" s="1"/>
    </row>
    <row r="169" spans="3:3" ht="14.25" customHeight="1" x14ac:dyDescent="0.35">
      <c r="C169" s="1"/>
    </row>
    <row r="170" spans="3:3" ht="14.25" customHeight="1" x14ac:dyDescent="0.35">
      <c r="C170" s="1"/>
    </row>
    <row r="171" spans="3:3" ht="14.25" customHeight="1" x14ac:dyDescent="0.35">
      <c r="C171" s="1"/>
    </row>
    <row r="172" spans="3:3" ht="14.25" customHeight="1" x14ac:dyDescent="0.35">
      <c r="C172" s="1"/>
    </row>
    <row r="173" spans="3:3" ht="14.25" customHeight="1" x14ac:dyDescent="0.35">
      <c r="C173" s="1"/>
    </row>
    <row r="174" spans="3:3" ht="14.25" customHeight="1" x14ac:dyDescent="0.35">
      <c r="C174" s="1"/>
    </row>
    <row r="175" spans="3:3" ht="14.25" customHeight="1" x14ac:dyDescent="0.35">
      <c r="C175" s="1"/>
    </row>
    <row r="176" spans="3:3" ht="14.25" customHeight="1" x14ac:dyDescent="0.35">
      <c r="C176" s="1"/>
    </row>
    <row r="177" spans="3:3" ht="14.25" customHeight="1" x14ac:dyDescent="0.35">
      <c r="C177" s="1"/>
    </row>
    <row r="178" spans="3:3" ht="14.25" customHeight="1" x14ac:dyDescent="0.35">
      <c r="C178" s="1"/>
    </row>
    <row r="179" spans="3:3" ht="14.25" customHeight="1" x14ac:dyDescent="0.35">
      <c r="C179" s="1"/>
    </row>
    <row r="180" spans="3:3" ht="14.25" customHeight="1" x14ac:dyDescent="0.35">
      <c r="C180" s="1"/>
    </row>
    <row r="181" spans="3:3" ht="14.25" customHeight="1" x14ac:dyDescent="0.35">
      <c r="C181" s="1"/>
    </row>
    <row r="182" spans="3:3" ht="14.25" customHeight="1" x14ac:dyDescent="0.35">
      <c r="C182" s="1"/>
    </row>
    <row r="183" spans="3:3" ht="14.25" customHeight="1" x14ac:dyDescent="0.35">
      <c r="C183" s="1"/>
    </row>
    <row r="184" spans="3:3" ht="14.25" customHeight="1" x14ac:dyDescent="0.35">
      <c r="C184" s="1"/>
    </row>
    <row r="185" spans="3:3" ht="14.25" customHeight="1" x14ac:dyDescent="0.35">
      <c r="C185" s="1"/>
    </row>
    <row r="186" spans="3:3" ht="14.25" customHeight="1" x14ac:dyDescent="0.35">
      <c r="C186" s="1"/>
    </row>
    <row r="187" spans="3:3" ht="14.25" customHeight="1" x14ac:dyDescent="0.35">
      <c r="C187" s="1"/>
    </row>
    <row r="188" spans="3:3" ht="14.25" customHeight="1" x14ac:dyDescent="0.35">
      <c r="C188" s="1"/>
    </row>
    <row r="189" spans="3:3" ht="14.25" customHeight="1" x14ac:dyDescent="0.35">
      <c r="C189" s="1"/>
    </row>
    <row r="190" spans="3:3" ht="14.25" customHeight="1" x14ac:dyDescent="0.35">
      <c r="C190" s="1"/>
    </row>
    <row r="191" spans="3:3" ht="14.25" customHeight="1" x14ac:dyDescent="0.35">
      <c r="C191" s="1"/>
    </row>
    <row r="192" spans="3:3" ht="14.25" customHeight="1" x14ac:dyDescent="0.35">
      <c r="C192" s="1"/>
    </row>
    <row r="193" spans="3:3" ht="14.25" customHeight="1" x14ac:dyDescent="0.35">
      <c r="C193" s="1"/>
    </row>
    <row r="194" spans="3:3" ht="14.25" customHeight="1" x14ac:dyDescent="0.35">
      <c r="C194" s="1"/>
    </row>
    <row r="195" spans="3:3" ht="14.25" customHeight="1" x14ac:dyDescent="0.35">
      <c r="C195" s="1"/>
    </row>
    <row r="196" spans="3:3" ht="14.25" customHeight="1" x14ac:dyDescent="0.35">
      <c r="C196" s="1"/>
    </row>
    <row r="197" spans="3:3" ht="14.25" customHeight="1" x14ac:dyDescent="0.35">
      <c r="C197" s="1"/>
    </row>
    <row r="198" spans="3:3" ht="14.25" customHeight="1" x14ac:dyDescent="0.35">
      <c r="C198" s="1"/>
    </row>
    <row r="199" spans="3:3" ht="14.25" customHeight="1" x14ac:dyDescent="0.35">
      <c r="C199" s="1"/>
    </row>
    <row r="200" spans="3:3" ht="14.25" customHeight="1" x14ac:dyDescent="0.35">
      <c r="C200" s="1"/>
    </row>
    <row r="201" spans="3:3" ht="14.25" customHeight="1" x14ac:dyDescent="0.35">
      <c r="C201" s="1"/>
    </row>
    <row r="202" spans="3:3" ht="14.25" customHeight="1" x14ac:dyDescent="0.35">
      <c r="C202" s="1"/>
    </row>
    <row r="203" spans="3:3" ht="14.25" customHeight="1" x14ac:dyDescent="0.35">
      <c r="C203" s="1"/>
    </row>
    <row r="204" spans="3:3" ht="14.25" customHeight="1" x14ac:dyDescent="0.35">
      <c r="C204" s="1"/>
    </row>
    <row r="205" spans="3:3" ht="14.25" customHeight="1" x14ac:dyDescent="0.35">
      <c r="C205" s="1"/>
    </row>
    <row r="206" spans="3:3" ht="14.25" customHeight="1" x14ac:dyDescent="0.35">
      <c r="C206" s="1"/>
    </row>
    <row r="207" spans="3:3" ht="14.25" customHeight="1" x14ac:dyDescent="0.35">
      <c r="C207" s="1"/>
    </row>
    <row r="208" spans="3:3" ht="14.25" customHeight="1" x14ac:dyDescent="0.35">
      <c r="C208" s="1"/>
    </row>
    <row r="209" spans="3:3" ht="14.25" customHeight="1" x14ac:dyDescent="0.35">
      <c r="C209" s="1"/>
    </row>
    <row r="210" spans="3:3" ht="14.25" customHeight="1" x14ac:dyDescent="0.35">
      <c r="C210" s="1"/>
    </row>
    <row r="211" spans="3:3" ht="14.25" customHeight="1" x14ac:dyDescent="0.35">
      <c r="C211" s="1"/>
    </row>
    <row r="212" spans="3:3" ht="14.25" customHeight="1" x14ac:dyDescent="0.35">
      <c r="C212" s="1"/>
    </row>
    <row r="213" spans="3:3" ht="14.25" customHeight="1" x14ac:dyDescent="0.35">
      <c r="C213" s="1"/>
    </row>
    <row r="214" spans="3:3" ht="14.25" customHeight="1" x14ac:dyDescent="0.35">
      <c r="C214" s="1"/>
    </row>
    <row r="215" spans="3:3" ht="14.25" customHeight="1" x14ac:dyDescent="0.35">
      <c r="C215" s="1"/>
    </row>
    <row r="216" spans="3:3" ht="14.25" customHeight="1" x14ac:dyDescent="0.35">
      <c r="C216" s="1"/>
    </row>
    <row r="217" spans="3:3" ht="14.25" customHeight="1" x14ac:dyDescent="0.35">
      <c r="C217" s="1"/>
    </row>
    <row r="218" spans="3:3" ht="14.25" customHeight="1" x14ac:dyDescent="0.35">
      <c r="C218" s="1"/>
    </row>
    <row r="219" spans="3:3" ht="14.25" customHeight="1" x14ac:dyDescent="0.35">
      <c r="C219" s="1"/>
    </row>
    <row r="220" spans="3:3" ht="14.25" customHeight="1" x14ac:dyDescent="0.35">
      <c r="C220" s="1"/>
    </row>
    <row r="221" spans="3:3" ht="15.75" customHeight="1" x14ac:dyDescent="0.35"/>
    <row r="222" spans="3:3" ht="15.75" customHeight="1" x14ac:dyDescent="0.35"/>
    <row r="223" spans="3:3" ht="15.75" customHeight="1" x14ac:dyDescent="0.35"/>
    <row r="224" spans="3:3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41" sqref="E41"/>
    </sheetView>
  </sheetViews>
  <sheetFormatPr baseColWidth="10" defaultColWidth="14.453125" defaultRowHeight="15" customHeight="1" x14ac:dyDescent="0.35"/>
  <cols>
    <col min="1" max="1" width="10.7265625" customWidth="1"/>
    <col min="2" max="2" width="34.54296875" customWidth="1"/>
    <col min="3" max="3" width="16.08984375" customWidth="1"/>
    <col min="4" max="24" width="10.7265625" customWidth="1"/>
  </cols>
  <sheetData>
    <row r="1" spans="1:26" ht="51" customHeight="1" x14ac:dyDescent="0.35">
      <c r="A1" s="13"/>
      <c r="B1" s="14" t="s">
        <v>1</v>
      </c>
      <c r="C1" s="53" t="s">
        <v>2</v>
      </c>
      <c r="D1" s="4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.5" x14ac:dyDescent="0.45">
      <c r="B2" s="15" t="s">
        <v>38</v>
      </c>
      <c r="C2" s="54">
        <v>45946</v>
      </c>
      <c r="D2" s="41"/>
    </row>
    <row r="3" spans="1:26" ht="18.5" x14ac:dyDescent="0.45">
      <c r="B3" s="15" t="s">
        <v>39</v>
      </c>
      <c r="C3" s="55" t="s">
        <v>40</v>
      </c>
      <c r="D3" s="41"/>
    </row>
    <row r="4" spans="1:26" ht="18.5" x14ac:dyDescent="0.45">
      <c r="B4" s="15" t="s">
        <v>41</v>
      </c>
      <c r="C4" s="55" t="s">
        <v>9</v>
      </c>
      <c r="D4" s="41"/>
    </row>
    <row r="5" spans="1:26" ht="14.25" customHeight="1" x14ac:dyDescent="0.35"/>
    <row r="6" spans="1:26" ht="14.25" customHeight="1" x14ac:dyDescent="0.35">
      <c r="A6" s="56" t="s">
        <v>42</v>
      </c>
      <c r="B6" s="41"/>
      <c r="C6" s="41"/>
      <c r="D6" s="41"/>
    </row>
    <row r="7" spans="1:26" ht="15" customHeight="1" x14ac:dyDescent="0.35">
      <c r="A7" s="16" t="s">
        <v>43</v>
      </c>
      <c r="B7" s="17" t="s">
        <v>44</v>
      </c>
      <c r="C7" s="17" t="s">
        <v>45</v>
      </c>
      <c r="D7" s="18" t="s">
        <v>46</v>
      </c>
    </row>
    <row r="8" spans="1:26" ht="14.25" customHeight="1" x14ac:dyDescent="0.35">
      <c r="A8" s="19">
        <v>1</v>
      </c>
      <c r="B8" s="20" t="s">
        <v>47</v>
      </c>
      <c r="C8" s="21"/>
      <c r="D8" s="22"/>
    </row>
    <row r="9" spans="1:26" ht="14.25" customHeight="1" x14ac:dyDescent="0.35">
      <c r="A9" s="19">
        <v>2</v>
      </c>
      <c r="B9" s="20" t="s">
        <v>48</v>
      </c>
      <c r="C9" s="21"/>
      <c r="D9" s="22"/>
    </row>
    <row r="10" spans="1:26" ht="14.25" customHeight="1" x14ac:dyDescent="0.35">
      <c r="A10" s="19">
        <v>3</v>
      </c>
      <c r="B10" s="20" t="s">
        <v>49</v>
      </c>
      <c r="C10" s="21"/>
      <c r="D10" s="22"/>
    </row>
    <row r="11" spans="1:26" ht="14.25" customHeight="1" x14ac:dyDescent="0.35">
      <c r="A11" s="19">
        <v>4</v>
      </c>
      <c r="B11" s="20" t="s">
        <v>50</v>
      </c>
      <c r="C11" s="21"/>
      <c r="D11" s="22"/>
    </row>
    <row r="12" spans="1:26" ht="14.25" customHeight="1" x14ac:dyDescent="0.35">
      <c r="A12" s="19">
        <v>5</v>
      </c>
      <c r="B12" s="20" t="s">
        <v>51</v>
      </c>
      <c r="C12" s="21"/>
    </row>
    <row r="13" spans="1:26" ht="14.25" customHeight="1" x14ac:dyDescent="0.35">
      <c r="A13" s="19">
        <v>6</v>
      </c>
      <c r="B13" s="20" t="s">
        <v>52</v>
      </c>
      <c r="C13" s="21"/>
      <c r="D13" s="22"/>
    </row>
    <row r="14" spans="1:26" ht="14.25" customHeight="1" x14ac:dyDescent="0.35">
      <c r="A14" s="19">
        <v>7</v>
      </c>
      <c r="B14" s="20" t="s">
        <v>53</v>
      </c>
      <c r="C14" s="21"/>
      <c r="D14" s="21"/>
    </row>
    <row r="15" spans="1:26" ht="14.25" customHeight="1" x14ac:dyDescent="0.35">
      <c r="A15" s="19">
        <v>8</v>
      </c>
      <c r="B15" s="20" t="s">
        <v>54</v>
      </c>
      <c r="C15" s="21"/>
      <c r="D15" s="22"/>
    </row>
    <row r="16" spans="1:26" ht="14.25" customHeight="1" x14ac:dyDescent="0.35">
      <c r="A16" s="23">
        <v>9</v>
      </c>
      <c r="B16" s="24" t="s">
        <v>55</v>
      </c>
      <c r="C16" s="25"/>
      <c r="D16" s="25"/>
    </row>
    <row r="17" spans="1:4" ht="14.25" customHeight="1" x14ac:dyDescent="0.35">
      <c r="A17" s="51" t="s">
        <v>56</v>
      </c>
      <c r="B17" s="41"/>
      <c r="C17" s="27">
        <f>COUNTA('MODELO DE LISTA DE COMPROBACION'!$C$8:$C$16)</f>
        <v>0</v>
      </c>
      <c r="D17" s="27">
        <f>COUNTA('MODELO DE LISTA DE COMPROBACION'!$D$8:$D$16)</f>
        <v>0</v>
      </c>
    </row>
    <row r="18" spans="1:4" ht="14.25" customHeight="1" x14ac:dyDescent="0.35">
      <c r="A18" s="51" t="s">
        <v>57</v>
      </c>
      <c r="B18" s="41"/>
      <c r="C18" s="28">
        <f t="shared" ref="C18:D18" si="0">C17/9</f>
        <v>0</v>
      </c>
      <c r="D18" s="28">
        <f t="shared" si="0"/>
        <v>0</v>
      </c>
    </row>
    <row r="19" spans="1:4" ht="14.25" customHeight="1" x14ac:dyDescent="0.35">
      <c r="A19" s="26"/>
      <c r="B19" s="26"/>
      <c r="C19" s="28"/>
      <c r="D19" s="27"/>
    </row>
    <row r="20" spans="1:4" ht="14.25" customHeight="1" x14ac:dyDescent="0.35">
      <c r="A20" s="57" t="s">
        <v>58</v>
      </c>
      <c r="B20" s="58"/>
      <c r="C20" s="58"/>
      <c r="D20" s="58"/>
    </row>
    <row r="21" spans="1:4" ht="14.25" customHeight="1" x14ac:dyDescent="0.35">
      <c r="A21" s="29" t="s">
        <v>43</v>
      </c>
      <c r="B21" s="30" t="s">
        <v>44</v>
      </c>
      <c r="C21" s="31" t="s">
        <v>45</v>
      </c>
      <c r="D21" s="32" t="s">
        <v>46</v>
      </c>
    </row>
    <row r="22" spans="1:4" ht="14.25" customHeight="1" x14ac:dyDescent="0.35">
      <c r="A22" s="19">
        <v>1</v>
      </c>
      <c r="B22" s="20" t="s">
        <v>59</v>
      </c>
      <c r="C22" s="25"/>
      <c r="D22" s="22"/>
    </row>
    <row r="23" spans="1:4" ht="14.25" customHeight="1" x14ac:dyDescent="0.35">
      <c r="A23" s="19">
        <v>2</v>
      </c>
      <c r="B23" s="20" t="s">
        <v>60</v>
      </c>
      <c r="C23" s="25"/>
      <c r="D23" s="22"/>
    </row>
    <row r="24" spans="1:4" ht="14.25" customHeight="1" x14ac:dyDescent="0.35">
      <c r="A24" s="19">
        <v>3</v>
      </c>
      <c r="B24" s="20" t="s">
        <v>61</v>
      </c>
      <c r="C24" s="25"/>
      <c r="D24" s="22"/>
    </row>
    <row r="25" spans="1:4" ht="14.25" customHeight="1" x14ac:dyDescent="0.35">
      <c r="A25" s="19">
        <v>4</v>
      </c>
      <c r="B25" s="20" t="s">
        <v>62</v>
      </c>
      <c r="C25" s="25"/>
      <c r="D25" s="22"/>
    </row>
    <row r="26" spans="1:4" ht="14.25" customHeight="1" x14ac:dyDescent="0.35">
      <c r="A26" s="23">
        <v>5</v>
      </c>
      <c r="B26" s="24" t="s">
        <v>63</v>
      </c>
      <c r="C26" s="25"/>
      <c r="D26" s="33"/>
    </row>
    <row r="27" spans="1:4" ht="14.25" customHeight="1" x14ac:dyDescent="0.35">
      <c r="A27" s="51" t="s">
        <v>56</v>
      </c>
      <c r="B27" s="41"/>
      <c r="C27" s="27">
        <f>COUNTA('MODELO DE LISTA DE COMPROBACION'!$C$22:$C$26)</f>
        <v>0</v>
      </c>
      <c r="D27" s="27">
        <f>COUNTA('MODELO DE LISTA DE COMPROBACION'!$D$22:$D$26)</f>
        <v>0</v>
      </c>
    </row>
    <row r="28" spans="1:4" ht="14.25" customHeight="1" x14ac:dyDescent="0.35">
      <c r="A28" s="51" t="s">
        <v>57</v>
      </c>
      <c r="B28" s="41"/>
      <c r="C28" s="28">
        <f t="shared" ref="C28:D28" si="1">C27/5</f>
        <v>0</v>
      </c>
      <c r="D28" s="28">
        <f t="shared" si="1"/>
        <v>0</v>
      </c>
    </row>
    <row r="29" spans="1:4" ht="14.25" customHeight="1" x14ac:dyDescent="0.35">
      <c r="A29" s="26"/>
      <c r="B29" s="26"/>
      <c r="C29" s="28"/>
      <c r="D29" s="27"/>
    </row>
    <row r="30" spans="1:4" ht="14.25" customHeight="1" x14ac:dyDescent="0.35">
      <c r="A30" s="56" t="s">
        <v>64</v>
      </c>
      <c r="B30" s="41"/>
      <c r="C30" s="41"/>
      <c r="D30" s="41"/>
    </row>
    <row r="31" spans="1:4" ht="14.25" customHeight="1" x14ac:dyDescent="0.35">
      <c r="A31" s="29" t="s">
        <v>43</v>
      </c>
      <c r="B31" s="30" t="s">
        <v>44</v>
      </c>
      <c r="C31" s="31" t="s">
        <v>45</v>
      </c>
      <c r="D31" s="32" t="s">
        <v>46</v>
      </c>
    </row>
    <row r="32" spans="1:4" ht="14.25" customHeight="1" x14ac:dyDescent="0.35">
      <c r="A32" s="19">
        <v>1</v>
      </c>
      <c r="B32" s="20" t="s">
        <v>65</v>
      </c>
      <c r="C32" s="25"/>
      <c r="D32" s="25"/>
    </row>
    <row r="33" spans="1:4" ht="14.25" customHeight="1" x14ac:dyDescent="0.35">
      <c r="A33" s="19">
        <v>2</v>
      </c>
      <c r="B33" s="36" t="s">
        <v>71</v>
      </c>
      <c r="C33" s="25"/>
      <c r="D33" s="25"/>
    </row>
    <row r="34" spans="1:4" ht="14.25" customHeight="1" x14ac:dyDescent="0.35">
      <c r="A34" s="23">
        <v>3</v>
      </c>
      <c r="B34" s="24" t="s">
        <v>67</v>
      </c>
      <c r="C34" s="25"/>
      <c r="D34" s="25"/>
    </row>
    <row r="35" spans="1:4" ht="14.25" customHeight="1" x14ac:dyDescent="0.35">
      <c r="A35" s="51" t="s">
        <v>56</v>
      </c>
      <c r="B35" s="41"/>
      <c r="C35" s="8">
        <f>COUNTA('MODELO DE LISTA DE COMPROBACION'!$C$32:$C$34)</f>
        <v>0</v>
      </c>
      <c r="D35" s="8">
        <f>COUNTA('MODELO DE LISTA DE COMPROBACION'!$D$32:$D$34)</f>
        <v>0</v>
      </c>
    </row>
    <row r="36" spans="1:4" ht="14.25" customHeight="1" x14ac:dyDescent="0.35">
      <c r="A36" s="51" t="s">
        <v>57</v>
      </c>
      <c r="B36" s="41"/>
      <c r="C36" s="28">
        <f t="shared" ref="C36:D36" si="2">C35/3</f>
        <v>0</v>
      </c>
      <c r="D36" s="28">
        <f t="shared" si="2"/>
        <v>0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45">
      <c r="A40" s="52" t="s">
        <v>68</v>
      </c>
      <c r="B40" s="41"/>
      <c r="C40" s="41"/>
    </row>
    <row r="41" spans="1:4" ht="30" customHeight="1" x14ac:dyDescent="0.35">
      <c r="B41" s="13" t="s">
        <v>69</v>
      </c>
      <c r="C41" s="27"/>
    </row>
    <row r="42" spans="1:4" ht="30" customHeight="1" x14ac:dyDescent="0.35">
      <c r="B42" s="13" t="s">
        <v>58</v>
      </c>
      <c r="C42" s="27"/>
    </row>
    <row r="43" spans="1:4" ht="30" customHeight="1" x14ac:dyDescent="0.35">
      <c r="B43" s="13" t="s">
        <v>64</v>
      </c>
      <c r="C43" s="27"/>
    </row>
    <row r="44" spans="1:4" ht="14.25" customHeight="1" x14ac:dyDescent="0.35">
      <c r="C44" s="27"/>
    </row>
    <row r="45" spans="1:4" ht="14.25" customHeight="1" x14ac:dyDescent="0.35">
      <c r="C45" s="27"/>
    </row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3" operator="containsText" text="X">
      <formula>NOT(ISERROR(SEARCH(("X"),(C8))))</formula>
    </cfRule>
    <cfRule type="containsText" dxfId="21" priority="4" operator="containsText" text="X">
      <formula>NOT(ISERROR(SEARCH(("X"),(C8))))</formula>
    </cfRule>
    <cfRule type="containsText" dxfId="20" priority="5" operator="containsText" text="X">
      <formula>NOT(ISERROR(SEARCH(("X"),(C8))))</formula>
    </cfRule>
  </conditionalFormatting>
  <conditionalFormatting sqref="C22:D26">
    <cfRule type="containsText" dxfId="19" priority="6" operator="containsText" text="X">
      <formula>NOT(ISERROR(SEARCH(("X"),(C22))))</formula>
    </cfRule>
    <cfRule type="containsText" dxfId="18" priority="7" operator="containsText" text="X">
      <formula>NOT(ISERROR(SEARCH(("X"),(C22))))</formula>
    </cfRule>
  </conditionalFormatting>
  <conditionalFormatting sqref="C32:D34 C8:D16 C22:C26">
    <cfRule type="containsText" dxfId="17" priority="2" operator="containsText" text="X">
      <formula>NOT(ISERROR(SEARCH(("X"),(C8))))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41" sqref="C41:C44"/>
    </sheetView>
  </sheetViews>
  <sheetFormatPr baseColWidth="10" defaultColWidth="14.453125" defaultRowHeight="15" customHeight="1" x14ac:dyDescent="0.35"/>
  <cols>
    <col min="1" max="1" width="10.7265625" customWidth="1"/>
    <col min="2" max="2" width="34.54296875" customWidth="1"/>
    <col min="3" max="3" width="16.08984375" customWidth="1"/>
    <col min="4" max="24" width="10.7265625" customWidth="1"/>
  </cols>
  <sheetData>
    <row r="1" spans="1:26" ht="51" customHeight="1" x14ac:dyDescent="0.35">
      <c r="A1" s="13"/>
      <c r="B1" s="14" t="s">
        <v>1</v>
      </c>
      <c r="C1" s="53" t="s">
        <v>2</v>
      </c>
      <c r="D1" s="4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3.25" customHeight="1" x14ac:dyDescent="0.45">
      <c r="B2" s="15" t="s">
        <v>38</v>
      </c>
      <c r="C2" s="54">
        <v>45946</v>
      </c>
      <c r="D2" s="41"/>
    </row>
    <row r="3" spans="1:26" ht="18.5" x14ac:dyDescent="0.45">
      <c r="B3" s="15" t="s">
        <v>39</v>
      </c>
      <c r="C3" s="55" t="s">
        <v>40</v>
      </c>
      <c r="D3" s="41"/>
    </row>
    <row r="4" spans="1:26" ht="43.5" customHeight="1" x14ac:dyDescent="0.45">
      <c r="B4" s="15" t="s">
        <v>41</v>
      </c>
      <c r="C4" s="55" t="s">
        <v>8</v>
      </c>
      <c r="D4" s="41"/>
    </row>
    <row r="5" spans="1:26" ht="14.25" customHeight="1" x14ac:dyDescent="0.35"/>
    <row r="6" spans="1:26" ht="18.75" customHeight="1" x14ac:dyDescent="0.35">
      <c r="A6" s="56" t="s">
        <v>42</v>
      </c>
      <c r="B6" s="41"/>
      <c r="C6" s="41"/>
      <c r="D6" s="41"/>
    </row>
    <row r="7" spans="1:26" ht="15" customHeight="1" x14ac:dyDescent="0.35">
      <c r="A7" s="16" t="s">
        <v>43</v>
      </c>
      <c r="B7" s="17" t="s">
        <v>44</v>
      </c>
      <c r="C7" s="17" t="s">
        <v>45</v>
      </c>
      <c r="D7" s="18" t="s">
        <v>46</v>
      </c>
    </row>
    <row r="8" spans="1:26" ht="14.25" customHeight="1" x14ac:dyDescent="0.35">
      <c r="A8" s="19">
        <v>1</v>
      </c>
      <c r="B8" s="20" t="s">
        <v>47</v>
      </c>
      <c r="C8" s="21"/>
      <c r="D8" s="22"/>
    </row>
    <row r="9" spans="1:26" ht="14.25" customHeight="1" x14ac:dyDescent="0.35">
      <c r="A9" s="19">
        <v>2</v>
      </c>
      <c r="B9" s="20" t="s">
        <v>48</v>
      </c>
      <c r="C9" s="21"/>
      <c r="D9" s="22"/>
    </row>
    <row r="10" spans="1:26" ht="14.25" customHeight="1" x14ac:dyDescent="0.35">
      <c r="A10" s="19">
        <v>3</v>
      </c>
      <c r="B10" s="20" t="s">
        <v>49</v>
      </c>
      <c r="C10" s="21"/>
      <c r="D10" s="22"/>
    </row>
    <row r="11" spans="1:26" ht="14.25" customHeight="1" x14ac:dyDescent="0.35">
      <c r="A11" s="19">
        <v>4</v>
      </c>
      <c r="B11" s="20" t="s">
        <v>50</v>
      </c>
      <c r="C11" s="21"/>
      <c r="D11" s="22"/>
    </row>
    <row r="12" spans="1:26" ht="14.25" customHeight="1" x14ac:dyDescent="0.35">
      <c r="A12" s="19">
        <v>5</v>
      </c>
      <c r="B12" s="20" t="s">
        <v>51</v>
      </c>
      <c r="C12" s="21"/>
      <c r="D12" s="22"/>
    </row>
    <row r="13" spans="1:26" ht="14.25" customHeight="1" x14ac:dyDescent="0.35">
      <c r="A13" s="19">
        <v>6</v>
      </c>
      <c r="B13" s="20" t="s">
        <v>52</v>
      </c>
      <c r="C13" s="21"/>
      <c r="D13" s="22"/>
    </row>
    <row r="14" spans="1:26" ht="14.25" customHeight="1" x14ac:dyDescent="0.35">
      <c r="A14" s="19">
        <v>7</v>
      </c>
      <c r="B14" s="20" t="s">
        <v>53</v>
      </c>
      <c r="C14" s="21"/>
      <c r="D14" s="21"/>
    </row>
    <row r="15" spans="1:26" ht="14.25" customHeight="1" x14ac:dyDescent="0.35">
      <c r="A15" s="19">
        <v>8</v>
      </c>
      <c r="B15" s="20" t="s">
        <v>54</v>
      </c>
      <c r="C15" s="21"/>
      <c r="D15" s="22"/>
    </row>
    <row r="16" spans="1:26" ht="14.25" customHeight="1" x14ac:dyDescent="0.35">
      <c r="A16" s="23">
        <v>9</v>
      </c>
      <c r="B16" s="24" t="s">
        <v>55</v>
      </c>
      <c r="C16" s="25"/>
      <c r="D16" s="25"/>
    </row>
    <row r="17" spans="1:4" ht="14.25" customHeight="1" x14ac:dyDescent="0.35">
      <c r="A17" s="51" t="s">
        <v>56</v>
      </c>
      <c r="B17" s="41"/>
      <c r="C17" s="27">
        <f>COUNTA('MODELO LISTA DE COMPROBACION'!$C$8:$C$16)</f>
        <v>0</v>
      </c>
      <c r="D17" s="27">
        <f>COUNTA('MODELO LISTA DE COMPROBACION'!$D$8:$D$16)</f>
        <v>0</v>
      </c>
    </row>
    <row r="18" spans="1:4" ht="14.25" customHeight="1" x14ac:dyDescent="0.35">
      <c r="A18" s="51" t="s">
        <v>57</v>
      </c>
      <c r="B18" s="41"/>
      <c r="C18" s="28">
        <f t="shared" ref="C18:D18" si="0">C17/9</f>
        <v>0</v>
      </c>
      <c r="D18" s="28">
        <f t="shared" si="0"/>
        <v>0</v>
      </c>
    </row>
    <row r="19" spans="1:4" ht="14.25" customHeight="1" x14ac:dyDescent="0.35">
      <c r="A19" s="26"/>
      <c r="B19" s="26"/>
      <c r="C19" s="28"/>
      <c r="D19" s="27"/>
    </row>
    <row r="20" spans="1:4" ht="24" customHeight="1" x14ac:dyDescent="0.35">
      <c r="A20" s="57" t="s">
        <v>58</v>
      </c>
      <c r="B20" s="58"/>
      <c r="C20" s="58"/>
      <c r="D20" s="58"/>
    </row>
    <row r="21" spans="1:4" ht="14.25" customHeight="1" x14ac:dyDescent="0.35">
      <c r="A21" s="29" t="s">
        <v>43</v>
      </c>
      <c r="B21" s="30" t="s">
        <v>44</v>
      </c>
      <c r="C21" s="31" t="s">
        <v>45</v>
      </c>
      <c r="D21" s="32" t="s">
        <v>46</v>
      </c>
    </row>
    <row r="22" spans="1:4" ht="14.25" customHeight="1" x14ac:dyDescent="0.35">
      <c r="A22" s="19">
        <v>1</v>
      </c>
      <c r="B22" s="20" t="s">
        <v>59</v>
      </c>
      <c r="C22" s="25"/>
      <c r="D22" s="22"/>
    </row>
    <row r="23" spans="1:4" ht="14.25" customHeight="1" x14ac:dyDescent="0.35">
      <c r="A23" s="19">
        <v>2</v>
      </c>
      <c r="B23" s="20" t="s">
        <v>60</v>
      </c>
      <c r="C23" s="25"/>
      <c r="D23" s="22"/>
    </row>
    <row r="24" spans="1:4" ht="14.25" customHeight="1" x14ac:dyDescent="0.35">
      <c r="A24" s="19">
        <v>3</v>
      </c>
      <c r="B24" s="20" t="s">
        <v>61</v>
      </c>
      <c r="C24" s="25"/>
      <c r="D24" s="34"/>
    </row>
    <row r="25" spans="1:4" ht="14.25" customHeight="1" x14ac:dyDescent="0.35">
      <c r="A25" s="19">
        <v>4</v>
      </c>
      <c r="B25" s="20" t="s">
        <v>62</v>
      </c>
      <c r="C25" s="25"/>
      <c r="D25" s="22"/>
    </row>
    <row r="26" spans="1:4" ht="14.25" customHeight="1" x14ac:dyDescent="0.35">
      <c r="A26" s="23">
        <v>5</v>
      </c>
      <c r="B26" s="24" t="s">
        <v>63</v>
      </c>
      <c r="C26" s="25"/>
      <c r="D26" s="33"/>
    </row>
    <row r="27" spans="1:4" ht="14.25" customHeight="1" x14ac:dyDescent="0.35">
      <c r="A27" s="51" t="s">
        <v>56</v>
      </c>
      <c r="B27" s="41"/>
      <c r="C27" s="27">
        <f>COUNTA('MODELO LISTA DE COMPROBACION'!$C$22:$C$26)</f>
        <v>0</v>
      </c>
      <c r="D27" s="27">
        <f>COUNTA('MODELO LISTA DE COMPROBACION'!$D$22:$D$26)</f>
        <v>0</v>
      </c>
    </row>
    <row r="28" spans="1:4" ht="14.25" customHeight="1" x14ac:dyDescent="0.35">
      <c r="A28" s="51" t="s">
        <v>57</v>
      </c>
      <c r="B28" s="41"/>
      <c r="C28" s="28">
        <f t="shared" ref="C28:D28" si="1">C27/5</f>
        <v>0</v>
      </c>
      <c r="D28" s="28">
        <f t="shared" si="1"/>
        <v>0</v>
      </c>
    </row>
    <row r="29" spans="1:4" ht="14.25" customHeight="1" x14ac:dyDescent="0.35">
      <c r="A29" s="26"/>
      <c r="B29" s="26"/>
      <c r="C29" s="28"/>
      <c r="D29" s="27"/>
    </row>
    <row r="30" spans="1:4" ht="14.25" customHeight="1" x14ac:dyDescent="0.35">
      <c r="A30" s="56" t="s">
        <v>64</v>
      </c>
      <c r="B30" s="41"/>
      <c r="C30" s="41"/>
      <c r="D30" s="41"/>
    </row>
    <row r="31" spans="1:4" ht="14.25" customHeight="1" x14ac:dyDescent="0.35">
      <c r="A31" s="29" t="s">
        <v>43</v>
      </c>
      <c r="B31" s="30" t="s">
        <v>44</v>
      </c>
      <c r="C31" s="31" t="s">
        <v>45</v>
      </c>
      <c r="D31" s="32" t="s">
        <v>46</v>
      </c>
    </row>
    <row r="32" spans="1:4" ht="14.25" customHeight="1" x14ac:dyDescent="0.35">
      <c r="A32" s="19">
        <v>1</v>
      </c>
      <c r="B32" s="20" t="s">
        <v>65</v>
      </c>
      <c r="C32" s="34"/>
      <c r="D32" s="25"/>
    </row>
    <row r="33" spans="1:4" ht="14.25" customHeight="1" x14ac:dyDescent="0.35">
      <c r="A33" s="19">
        <v>2</v>
      </c>
      <c r="B33" s="20" t="s">
        <v>66</v>
      </c>
      <c r="C33" s="25"/>
      <c r="D33" s="25"/>
    </row>
    <row r="34" spans="1:4" ht="14.25" customHeight="1" x14ac:dyDescent="0.35">
      <c r="A34" s="23">
        <v>3</v>
      </c>
      <c r="B34" s="24" t="s">
        <v>67</v>
      </c>
      <c r="C34" s="25"/>
      <c r="D34" s="25"/>
    </row>
    <row r="35" spans="1:4" ht="14.25" customHeight="1" x14ac:dyDescent="0.35">
      <c r="A35" s="51" t="s">
        <v>56</v>
      </c>
      <c r="B35" s="41"/>
      <c r="C35" s="8">
        <f>COUNTA('MODELO LISTA DE COMPROBACION'!$C$32:$C$34)</f>
        <v>0</v>
      </c>
      <c r="D35" s="8">
        <f>COUNTA('MODELO LISTA DE COMPROBACION'!$D$32:$D$34)</f>
        <v>0</v>
      </c>
    </row>
    <row r="36" spans="1:4" ht="14.25" customHeight="1" x14ac:dyDescent="0.35">
      <c r="A36" s="51" t="s">
        <v>57</v>
      </c>
      <c r="B36" s="41"/>
      <c r="C36" s="28">
        <f t="shared" ref="C36:D36" si="2">C35/3</f>
        <v>0</v>
      </c>
      <c r="D36" s="28">
        <f t="shared" si="2"/>
        <v>0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45">
      <c r="A40" s="52" t="s">
        <v>68</v>
      </c>
      <c r="B40" s="41"/>
      <c r="C40" s="41"/>
    </row>
    <row r="41" spans="1:4" ht="30" customHeight="1" x14ac:dyDescent="0.35">
      <c r="B41" s="13" t="s">
        <v>69</v>
      </c>
      <c r="C41" s="27"/>
    </row>
    <row r="42" spans="1:4" ht="30" customHeight="1" x14ac:dyDescent="0.35">
      <c r="B42" s="13" t="s">
        <v>58</v>
      </c>
      <c r="C42" s="27"/>
    </row>
    <row r="43" spans="1:4" ht="30" customHeight="1" x14ac:dyDescent="0.35">
      <c r="B43" s="13" t="s">
        <v>64</v>
      </c>
      <c r="C43" s="27"/>
    </row>
    <row r="44" spans="1:4" ht="14.25" customHeight="1" x14ac:dyDescent="0.35">
      <c r="C44" s="27"/>
    </row>
    <row r="45" spans="1:4" ht="14.25" customHeight="1" x14ac:dyDescent="0.35">
      <c r="C45" s="27"/>
    </row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D32:D34 C33:C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conditionalFormatting sqref="D32:D34 C33:C34 C8:D16 C22:C26">
    <cfRule type="containsText" dxfId="8" priority="2" operator="containsText" text="X">
      <formula>NOT(ISERROR(SEARCH(("X"),(C8))))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6" workbookViewId="0">
      <selection activeCell="C41" sqref="C41:C43"/>
    </sheetView>
  </sheetViews>
  <sheetFormatPr baseColWidth="10" defaultColWidth="14.453125" defaultRowHeight="15" customHeight="1" x14ac:dyDescent="0.35"/>
  <cols>
    <col min="1" max="1" width="10.7265625" customWidth="1"/>
    <col min="2" max="2" width="34.54296875" customWidth="1"/>
    <col min="3" max="3" width="16.08984375" customWidth="1"/>
    <col min="4" max="24" width="10.7265625" customWidth="1"/>
  </cols>
  <sheetData>
    <row r="1" spans="1:26" ht="51" customHeight="1" x14ac:dyDescent="0.35">
      <c r="A1" s="13"/>
      <c r="B1" s="14" t="s">
        <v>1</v>
      </c>
      <c r="C1" s="53" t="s">
        <v>2</v>
      </c>
      <c r="D1" s="4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45">
      <c r="B2" s="15" t="s">
        <v>38</v>
      </c>
      <c r="C2" s="54">
        <v>45946</v>
      </c>
      <c r="D2" s="41"/>
    </row>
    <row r="3" spans="1:26" ht="18.5" x14ac:dyDescent="0.45">
      <c r="B3" s="15" t="s">
        <v>39</v>
      </c>
      <c r="C3" s="55" t="s">
        <v>40</v>
      </c>
      <c r="D3" s="41"/>
    </row>
    <row r="4" spans="1:26" ht="18.5" x14ac:dyDescent="0.45">
      <c r="B4" s="15" t="s">
        <v>41</v>
      </c>
      <c r="C4" s="55" t="s">
        <v>70</v>
      </c>
      <c r="D4" s="41"/>
    </row>
    <row r="5" spans="1:26" ht="14.25" customHeight="1" x14ac:dyDescent="0.35"/>
    <row r="6" spans="1:26" ht="21.75" customHeight="1" x14ac:dyDescent="0.35">
      <c r="A6" s="56" t="s">
        <v>42</v>
      </c>
      <c r="B6" s="41"/>
      <c r="C6" s="41"/>
      <c r="D6" s="41"/>
    </row>
    <row r="7" spans="1:26" ht="15" customHeight="1" x14ac:dyDescent="0.35">
      <c r="A7" s="16" t="s">
        <v>43</v>
      </c>
      <c r="B7" s="17" t="s">
        <v>44</v>
      </c>
      <c r="C7" s="17" t="s">
        <v>45</v>
      </c>
      <c r="D7" s="18" t="s">
        <v>46</v>
      </c>
    </row>
    <row r="8" spans="1:26" ht="14.25" customHeight="1" x14ac:dyDescent="0.35">
      <c r="A8" s="19">
        <v>1</v>
      </c>
      <c r="B8" s="20" t="s">
        <v>47</v>
      </c>
      <c r="C8" s="21"/>
      <c r="D8" s="22"/>
    </row>
    <row r="9" spans="1:26" ht="14.25" customHeight="1" x14ac:dyDescent="0.35">
      <c r="A9" s="19">
        <v>2</v>
      </c>
      <c r="B9" s="20" t="s">
        <v>48</v>
      </c>
      <c r="C9" s="21"/>
      <c r="D9" s="22"/>
    </row>
    <row r="10" spans="1:26" ht="14.25" customHeight="1" x14ac:dyDescent="0.35">
      <c r="A10" s="19">
        <v>3</v>
      </c>
      <c r="B10" s="20" t="s">
        <v>49</v>
      </c>
      <c r="C10" s="21"/>
      <c r="D10" s="22"/>
    </row>
    <row r="11" spans="1:26" ht="14.25" customHeight="1" x14ac:dyDescent="0.35">
      <c r="A11" s="19">
        <v>4</v>
      </c>
      <c r="B11" s="20" t="s">
        <v>50</v>
      </c>
      <c r="C11" s="21"/>
      <c r="D11" s="22"/>
    </row>
    <row r="12" spans="1:26" ht="14.25" customHeight="1" x14ac:dyDescent="0.35">
      <c r="A12" s="19">
        <v>5</v>
      </c>
      <c r="B12" s="20" t="s">
        <v>51</v>
      </c>
      <c r="C12" s="21"/>
      <c r="D12" s="22"/>
    </row>
    <row r="13" spans="1:26" ht="14.25" customHeight="1" x14ac:dyDescent="0.35">
      <c r="A13" s="19">
        <v>6</v>
      </c>
      <c r="B13" s="20" t="s">
        <v>52</v>
      </c>
      <c r="C13" s="21"/>
      <c r="D13" s="22"/>
    </row>
    <row r="14" spans="1:26" ht="14.25" customHeight="1" x14ac:dyDescent="0.35">
      <c r="A14" s="19">
        <v>7</v>
      </c>
      <c r="B14" s="20" t="s">
        <v>53</v>
      </c>
      <c r="C14" s="21"/>
      <c r="D14" s="22"/>
    </row>
    <row r="15" spans="1:26" ht="14.25" customHeight="1" x14ac:dyDescent="0.35">
      <c r="A15" s="19">
        <v>8</v>
      </c>
      <c r="B15" s="20" t="s">
        <v>54</v>
      </c>
      <c r="C15" s="21"/>
      <c r="D15" s="22"/>
    </row>
    <row r="16" spans="1:26" ht="14.25" customHeight="1" x14ac:dyDescent="0.35">
      <c r="A16" s="23">
        <v>9</v>
      </c>
      <c r="B16" s="24" t="s">
        <v>55</v>
      </c>
      <c r="C16" s="25"/>
      <c r="D16" s="25"/>
    </row>
    <row r="17" spans="1:4" ht="14.25" customHeight="1" x14ac:dyDescent="0.35">
      <c r="A17" s="51" t="s">
        <v>56</v>
      </c>
      <c r="B17" s="41"/>
      <c r="C17" s="27">
        <f>COUNTA('MODELO LISTA DE COMPROBACION - '!$C$8:$C$16)</f>
        <v>0</v>
      </c>
      <c r="D17" s="27">
        <f>COUNTA('MODELO LISTA DE COMPROBACION - '!$D$8:$D$16)</f>
        <v>0</v>
      </c>
    </row>
    <row r="18" spans="1:4" ht="14.25" customHeight="1" x14ac:dyDescent="0.35">
      <c r="A18" s="51" t="s">
        <v>57</v>
      </c>
      <c r="B18" s="41"/>
      <c r="C18" s="28">
        <f t="shared" ref="C18:D18" si="0">C17/9</f>
        <v>0</v>
      </c>
      <c r="D18" s="28">
        <f t="shared" si="0"/>
        <v>0</v>
      </c>
    </row>
    <row r="19" spans="1:4" ht="14.25" customHeight="1" x14ac:dyDescent="0.35">
      <c r="A19" s="26"/>
      <c r="B19" s="26"/>
      <c r="C19" s="28"/>
      <c r="D19" s="27"/>
    </row>
    <row r="20" spans="1:4" ht="21" customHeight="1" x14ac:dyDescent="0.35">
      <c r="A20" s="57" t="s">
        <v>58</v>
      </c>
      <c r="B20" s="58"/>
      <c r="C20" s="58"/>
      <c r="D20" s="58"/>
    </row>
    <row r="21" spans="1:4" ht="14.25" customHeight="1" x14ac:dyDescent="0.35">
      <c r="A21" s="29" t="s">
        <v>43</v>
      </c>
      <c r="B21" s="30" t="s">
        <v>44</v>
      </c>
      <c r="C21" s="31" t="s">
        <v>45</v>
      </c>
      <c r="D21" s="32" t="s">
        <v>46</v>
      </c>
    </row>
    <row r="22" spans="1:4" ht="14.25" customHeight="1" x14ac:dyDescent="0.35">
      <c r="A22" s="19">
        <v>1</v>
      </c>
      <c r="B22" s="20" t="s">
        <v>59</v>
      </c>
      <c r="C22" s="25"/>
      <c r="D22" s="22"/>
    </row>
    <row r="23" spans="1:4" ht="14.25" customHeight="1" x14ac:dyDescent="0.35">
      <c r="A23" s="19">
        <v>2</v>
      </c>
      <c r="B23" s="20" t="s">
        <v>60</v>
      </c>
      <c r="C23" s="25"/>
      <c r="D23" s="22"/>
    </row>
    <row r="24" spans="1:4" ht="14.25" customHeight="1" x14ac:dyDescent="0.35">
      <c r="A24" s="19">
        <v>3</v>
      </c>
      <c r="B24" s="20" t="s">
        <v>61</v>
      </c>
      <c r="C24" s="25"/>
      <c r="D24" s="22"/>
    </row>
    <row r="25" spans="1:4" ht="14.25" customHeight="1" x14ac:dyDescent="0.35">
      <c r="A25" s="19">
        <v>4</v>
      </c>
      <c r="B25" s="20" t="s">
        <v>62</v>
      </c>
      <c r="C25" s="25"/>
      <c r="D25" s="22"/>
    </row>
    <row r="26" spans="1:4" ht="14.25" customHeight="1" x14ac:dyDescent="0.35">
      <c r="A26" s="23">
        <v>5</v>
      </c>
      <c r="B26" s="24" t="s">
        <v>63</v>
      </c>
      <c r="C26" s="25"/>
      <c r="D26" s="33"/>
    </row>
    <row r="27" spans="1:4" ht="14.25" customHeight="1" x14ac:dyDescent="0.35">
      <c r="A27" s="51" t="s">
        <v>56</v>
      </c>
      <c r="B27" s="41"/>
      <c r="C27" s="27">
        <f>COUNTA('MODELO LISTA DE COMPROBACION - '!$C$22:$C$26)</f>
        <v>0</v>
      </c>
      <c r="D27" s="27">
        <f>COUNTA('MODELO LISTA DE COMPROBACION - '!$D$22:$D$26)</f>
        <v>0</v>
      </c>
    </row>
    <row r="28" spans="1:4" ht="14.25" customHeight="1" x14ac:dyDescent="0.35">
      <c r="A28" s="51" t="s">
        <v>57</v>
      </c>
      <c r="B28" s="41"/>
      <c r="C28" s="28">
        <f t="shared" ref="C28:D28" si="1">C27/5</f>
        <v>0</v>
      </c>
      <c r="D28" s="28">
        <f t="shared" si="1"/>
        <v>0</v>
      </c>
    </row>
    <row r="29" spans="1:4" ht="14.25" customHeight="1" x14ac:dyDescent="0.35">
      <c r="A29" s="26"/>
      <c r="B29" s="26"/>
      <c r="C29" s="28"/>
      <c r="D29" s="27"/>
    </row>
    <row r="30" spans="1:4" ht="20.25" customHeight="1" x14ac:dyDescent="0.35">
      <c r="A30" s="56" t="s">
        <v>71</v>
      </c>
      <c r="B30" s="41"/>
      <c r="C30" s="41"/>
      <c r="D30" s="41"/>
    </row>
    <row r="31" spans="1:4" ht="14.25" customHeight="1" x14ac:dyDescent="0.35">
      <c r="A31" s="29" t="s">
        <v>43</v>
      </c>
      <c r="B31" s="30" t="s">
        <v>44</v>
      </c>
      <c r="C31" s="31" t="s">
        <v>45</v>
      </c>
      <c r="D31" s="32" t="s">
        <v>46</v>
      </c>
    </row>
    <row r="32" spans="1:4" ht="14.25" customHeight="1" x14ac:dyDescent="0.35">
      <c r="A32" s="19">
        <v>1</v>
      </c>
      <c r="B32" s="20" t="s">
        <v>65</v>
      </c>
      <c r="C32" s="25"/>
      <c r="D32" s="25"/>
    </row>
    <row r="33" spans="1:4" ht="14.25" customHeight="1" x14ac:dyDescent="0.35">
      <c r="A33" s="19">
        <v>2</v>
      </c>
      <c r="B33" s="20" t="s">
        <v>66</v>
      </c>
      <c r="C33" s="25"/>
      <c r="D33" s="25"/>
    </row>
    <row r="34" spans="1:4" ht="14.25" customHeight="1" x14ac:dyDescent="0.35">
      <c r="A34" s="23">
        <v>3</v>
      </c>
      <c r="B34" s="24" t="s">
        <v>67</v>
      </c>
      <c r="C34" s="25"/>
      <c r="D34" s="25"/>
    </row>
    <row r="35" spans="1:4" ht="14.25" customHeight="1" x14ac:dyDescent="0.35">
      <c r="A35" s="51" t="s">
        <v>56</v>
      </c>
      <c r="B35" s="41"/>
      <c r="C35" s="8">
        <f>COUNTA('MODELO LISTA DE COMPROBACION - '!$C$32:$C$34)</f>
        <v>0</v>
      </c>
      <c r="D35" s="8">
        <f>COUNTA('MODELO LISTA DE COMPROBACION - '!$D$32:$D$34)</f>
        <v>0</v>
      </c>
    </row>
    <row r="36" spans="1:4" ht="14.25" customHeight="1" x14ac:dyDescent="0.35">
      <c r="A36" s="51" t="s">
        <v>57</v>
      </c>
      <c r="B36" s="41"/>
      <c r="C36" s="28">
        <f t="shared" ref="C36:D36" si="2">C35/3</f>
        <v>0</v>
      </c>
      <c r="D36" s="28">
        <f t="shared" si="2"/>
        <v>0</v>
      </c>
    </row>
    <row r="37" spans="1:4" ht="14.25" customHeight="1" x14ac:dyDescent="0.35"/>
    <row r="38" spans="1:4" ht="14.25" customHeight="1" x14ac:dyDescent="0.35"/>
    <row r="39" spans="1:4" ht="14.25" customHeight="1" x14ac:dyDescent="0.35"/>
    <row r="40" spans="1:4" ht="14.25" customHeight="1" x14ac:dyDescent="0.45">
      <c r="A40" s="52" t="s">
        <v>68</v>
      </c>
      <c r="B40" s="41"/>
      <c r="C40" s="41"/>
    </row>
    <row r="41" spans="1:4" ht="30" customHeight="1" x14ac:dyDescent="0.35">
      <c r="B41" s="13" t="s">
        <v>69</v>
      </c>
      <c r="C41" s="27"/>
    </row>
    <row r="42" spans="1:4" ht="30" customHeight="1" x14ac:dyDescent="0.35">
      <c r="B42" s="13" t="s">
        <v>58</v>
      </c>
      <c r="C42" s="27"/>
    </row>
    <row r="43" spans="1:4" ht="30" customHeight="1" x14ac:dyDescent="0.35">
      <c r="B43" s="13" t="s">
        <v>64</v>
      </c>
      <c r="C43" s="27"/>
    </row>
    <row r="44" spans="1:4" ht="14.25" customHeight="1" x14ac:dyDescent="0.35">
      <c r="C44" s="27"/>
    </row>
    <row r="45" spans="1:4" ht="14.25" customHeight="1" x14ac:dyDescent="0.35">
      <c r="C45" s="27"/>
    </row>
    <row r="46" spans="1:4" ht="14.25" customHeight="1" x14ac:dyDescent="0.35"/>
    <row r="47" spans="1:4" ht="14.25" customHeight="1" x14ac:dyDescent="0.35"/>
    <row r="48" spans="1: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Ckeck LIst</vt:lpstr>
      <vt:lpstr>MODELO DE LISTA DE COMPROBACION</vt:lpstr>
      <vt:lpstr>MODELO LISTA DE COMPROBACION</vt:lpstr>
      <vt:lpstr>MODELO LISTA DE COMPROBACION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Manobanda</dc:creator>
  <cp:lastModifiedBy>JEFFREY ALEXANDER MANOBANDA CHABLA</cp:lastModifiedBy>
  <dcterms:created xsi:type="dcterms:W3CDTF">2026-01-21T04:39:42Z</dcterms:created>
  <dcterms:modified xsi:type="dcterms:W3CDTF">2026-01-21T04:41:35Z</dcterms:modified>
</cp:coreProperties>
</file>