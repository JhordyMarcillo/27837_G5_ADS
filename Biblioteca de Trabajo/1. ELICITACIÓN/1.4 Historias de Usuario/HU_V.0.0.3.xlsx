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cer\Documents\ESPE\6to 7mo\Analisis y diseño\27837_G5_ADS\Biblioteca de Soporte\1. ELICITACIÓN\1.4 Historias de Usuario\"/>
    </mc:Choice>
  </mc:AlternateContent>
  <xr:revisionPtr revIDLastSave="0" documentId="13_ncr:1_{7B70E0BE-F32C-4CA9-B467-003E27238D5D}" xr6:coauthVersionLast="47" xr6:coauthVersionMax="47" xr10:uidLastSave="{00000000-0000-0000-0000-000000000000}"/>
  <bookViews>
    <workbookView xWindow="-110" yWindow="-110" windowWidth="25820" windowHeight="16220" xr2:uid="{00000000-000D-0000-FFFF-FFFF00000000}"/>
  </bookViews>
  <sheets>
    <sheet name="Formato descripción HU" sheetId="1" r:id="rId1"/>
    <sheet name="Historia de Usuario" sheetId="2" r:id="rId2"/>
  </sheets>
  <definedNames>
    <definedName name="_xlnm._FilterDatabase" localSheetId="0" hidden="1">'Formato descripción HU'!$B$5:$O$16</definedName>
  </definedNames>
  <calcPr calcId="191029"/>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<sst xmlns="http://schemas.openxmlformats.org/spreadsheetml/2006/main" count="168" uniqueCount="124">
  <si>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</si>
  <si>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</si>
  <si>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</si>
  <si>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</si>
  <si>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</si>
  <si>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</si>
  <si>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</si>
  <si>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</si>
  <si>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</si>
  <si>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</si>
  <si>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</si>
  <si>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</si>
  <si>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</si>
  <si>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</si>
  <si>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</si>
  <si>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RF1</t>
  </si>
  <si>
    <t>Los usuarios no van a poder acceder al sistema sin autenticación.</t>
  </si>
  <si>
    <t>Se necesita un mecanismo seguro de inicio de sesión.</t>
  </si>
  <si>
    <t>Permitir el acceso controlado y seguro a las funciones del sistema</t>
  </si>
  <si>
    <t>Tesorera, Coordinadora</t>
  </si>
  <si>
    <t>1. Mostrar formulario. 2. Ingresar usuario/contraseña. 3. Validar credenciales. 4. Redirigir al panel principal.</t>
  </si>
  <si>
    <t>Dennison</t>
  </si>
  <si>
    <t>Alta</t>
  </si>
  <si>
    <t>No iniciado</t>
  </si>
  <si>
    <r>
      <rPr>
        <b/>
        <sz val="10"/>
        <color theme="1"/>
        <rFont val="Arial Narrow"/>
      </rPr>
      <t>Prueba de seguridad, caja negra</t>
    </r>
    <r>
      <rPr>
        <sz val="10"/>
        <color theme="1"/>
        <rFont val="Arial Narrow"/>
      </rPr>
      <t>:
Realizar pruebas de caja negra contra el endpoint de login como intentos con credenciales válidas, inválidas. Para comprobar tanto el flujo funcional (login correcto) como vulnerabilidades críticas (inyección, enumeración de usuarios, bloqueo por intentos).</t>
    </r>
  </si>
  <si>
    <t>implementar seguridad a la autenticacion de credenciales</t>
  </si>
  <si>
    <t>Inicio de Sesión del Sistema</t>
  </si>
  <si>
    <t>RF2</t>
  </si>
  <si>
    <t>Existe registros manuales de donaciones lo que puede llevar a errores humanos</t>
  </si>
  <si>
    <t>Registrar donaciones físicas con datos completos y validados.</t>
  </si>
  <si>
    <t>Gestionar reportes de ingreso y balances exactos.</t>
  </si>
  <si>
    <t>Tesorera</t>
  </si>
  <si>
    <t>1. Seleccionar “Registrar donaciones”. 2. Ingresar datos de la donación. 3. Confirmar el registro. 4. Validar y almacenar en BD.</t>
  </si>
  <si>
    <t>Jeffrey</t>
  </si>
  <si>
    <r>
      <rPr>
        <b/>
        <sz val="10"/>
        <color theme="1"/>
        <rFont val="Arial Narrow"/>
      </rPr>
      <t>Prueba de integración</t>
    </r>
    <r>
      <rPr>
        <sz val="10"/>
        <color theme="1"/>
        <rFont val="Arial Narrow"/>
      </rPr>
      <t xml:space="preserve">:
Ejecutar un caso que envíe desde la UI una donación completa y valide que la API responde OK y que el registro queda persistido y correcto en la base de datos.
</t>
    </r>
  </si>
  <si>
    <t>Validar con reglas por tipo de ingreso</t>
  </si>
  <si>
    <t xml:space="preserve">Registro de Donaciones </t>
  </si>
  <si>
    <t>RF3</t>
  </si>
  <si>
    <t>La tesorera necesita registrar salidas de las donaciones para mantener el control financiero de la fundación</t>
  </si>
  <si>
    <t>Registrar egresos con los datos necesarios y validados.</t>
  </si>
  <si>
    <t>Gestionar reportes de egresos y balances precisos.</t>
  </si>
  <si>
    <t>1. Seleccionar “Registrar egresos”. 2. Ingresar datos del egreso (tipo, fecha, cantidad, banco, cuenta, comprobante). 3. Registrar información adicional según el tipo. 4. Confirmar el egreso. 5. El sistema valida y guarda.</t>
  </si>
  <si>
    <t>Jhordy</t>
  </si>
  <si>
    <r>
      <rPr>
        <b/>
        <sz val="10"/>
        <color theme="1"/>
        <rFont val="Arial Narrow"/>
      </rPr>
      <t>Pruebas unitarias</t>
    </r>
    <r>
      <rPr>
        <sz val="10"/>
        <color theme="1"/>
        <rFont val="Arial Narrow"/>
      </rPr>
      <t xml:space="preserve">:
Probar la función que valida reglas por tipo de egreso  y luego un caso de integración que intente registrar un egreso sin el comprobante obligatorio para ese tipo.
</t>
    </r>
  </si>
  <si>
    <t>Validar con reglas por tipo de egreso</t>
  </si>
  <si>
    <t>Registro de Egresos</t>
  </si>
  <si>
    <t>RF4</t>
  </si>
  <si>
    <t xml:space="preserve">Media </t>
  </si>
  <si>
    <t>RF5</t>
  </si>
  <si>
    <t>Riesgo de pérdida de información</t>
  </si>
  <si>
    <t>Almacenar copias en nube</t>
  </si>
  <si>
    <t>Garantizar respaldo y recuperación</t>
  </si>
  <si>
    <t>1. Comprobar conexión. 2. Enlazar con nube. 3. Transferir datos. 4. Confirmar almacenamiento</t>
  </si>
  <si>
    <t>Baja</t>
  </si>
  <si>
    <r>
      <rPr>
        <b/>
        <sz val="10"/>
        <color theme="1"/>
        <rFont val="Arial Narrow"/>
      </rPr>
      <t>Pruebas de integración</t>
    </r>
    <r>
      <rPr>
        <sz val="10"/>
        <color theme="1"/>
        <rFont val="Arial Narrow"/>
      </rPr>
      <t>:
Realizar un backup completo hacia la nube y ejecutar un restore en entorno verificando la integridad de datos.</t>
    </r>
  </si>
  <si>
    <t>Copias según frecuencia y notificaciones</t>
  </si>
  <si>
    <t xml:space="preserve">Copia en la nube </t>
  </si>
  <si>
    <t>RF6</t>
  </si>
  <si>
    <t>Falta de herramientas para análisis visual</t>
  </si>
  <si>
    <t>Generar gráficos interactivos</t>
  </si>
  <si>
    <t>Facilitar análisis para la toma de decisiones</t>
  </si>
  <si>
    <t>1. Seleccionar opción de gráficos. 2. Elegir tipo. 3. Mostrar y permitir interacción</t>
  </si>
  <si>
    <r>
      <rPr>
        <b/>
        <sz val="10"/>
        <color theme="1"/>
        <rFont val="Arial Narrow"/>
      </rPr>
      <t>Pruebas de aceptación:</t>
    </r>
    <r>
      <rPr>
        <sz val="10"/>
        <color theme="1"/>
        <rFont val="Arial Narrow"/>
      </rPr>
      <t xml:space="preserve">
Probar renderizado e interacción: aplicar filtro, hacer hover y zoom en un gráfico con datos reales, comparar valores mostrados con la fuente.</t>
    </r>
  </si>
  <si>
    <t>Incluir variedad de tipos gráficos</t>
  </si>
  <si>
    <t xml:space="preserve">Gráficos interactivos </t>
  </si>
  <si>
    <t>RF7</t>
  </si>
  <si>
    <t>Falta de reportes automatizados de ingresos</t>
  </si>
  <si>
    <t>Generar reportes detallados de ingresos</t>
  </si>
  <si>
    <t>Visualización y exportación de ingresos</t>
  </si>
  <si>
    <t>1. Seleccionar “Reporte de ingresos”. 2. Ingresar parámetros. 3. Confirmar. 4. Generar reporte (PDF o Excel)</t>
  </si>
  <si>
    <r>
      <rPr>
        <b/>
        <sz val="10"/>
        <color theme="1"/>
        <rFont val="Arial Narrow"/>
      </rPr>
      <t>Pruebas de caja negra</t>
    </r>
    <r>
      <rPr>
        <sz val="10"/>
        <color theme="1"/>
        <rFont val="Arial Narrow"/>
      </rPr>
      <t>:
Generar el reporte de ingresos en PDF/Excel para un rango de fechas y validar que totales y filas coinciden con la base de datos.</t>
    </r>
  </si>
  <si>
    <t>Compatibilidad PDF y Excel</t>
  </si>
  <si>
    <t xml:space="preserve">Reporte de Ingresos </t>
  </si>
  <si>
    <t>RF8</t>
  </si>
  <si>
    <t>Falta de reportes automatizados de egresos</t>
  </si>
  <si>
    <t>Generar reportes detallados de egresos</t>
  </si>
  <si>
    <t>Visualización y exportación de egresos</t>
  </si>
  <si>
    <t>1. Seleccionar “Reporte de egresos”. 2. Ingresar parámetros. 3. Confirmar. 4. Generar reporte (PDF o Excel)</t>
  </si>
  <si>
    <r>
      <rPr>
        <b/>
        <sz val="10"/>
        <color theme="1"/>
        <rFont val="Arial Narrow"/>
      </rPr>
      <t>Prueba de caja negra</t>
    </r>
    <r>
      <rPr>
        <sz val="10"/>
        <color theme="1"/>
        <rFont val="Arial Narrow"/>
      </rPr>
      <t>:
Generar reporte de egresos y verificar que cada entrada, comprobante referenciado y subtotal concuerdan con los movimientos almacenados.</t>
    </r>
  </si>
  <si>
    <t xml:space="preserve">Reporte de Egresos </t>
  </si>
  <si>
    <t>RF9</t>
  </si>
  <si>
    <t>Necesidad de control financiero entre ingresos/egresos</t>
  </si>
  <si>
    <t>Generar reportes de balances</t>
  </si>
  <si>
    <t>Visualizar balances y estados finales</t>
  </si>
  <si>
    <t>1. Seleccionar “Reporte de balances”. 2. Ingresar rango de fechas. 3. Confirmar. 4. Generar reporte balanceado</t>
  </si>
  <si>
    <r>
      <rPr>
        <b/>
        <sz val="10"/>
        <color theme="1"/>
        <rFont val="Arial Narrow"/>
      </rPr>
      <t>Pruebas de caja negra</t>
    </r>
    <r>
      <rPr>
        <sz val="10"/>
        <color theme="1"/>
        <rFont val="Arial Narrow"/>
      </rPr>
      <t>:
Generar el reporte de ingresos en PDF/Excel para un rango de fechas y validar que totales y filas coinciden con la base de datos.</t>
    </r>
  </si>
  <si>
    <t xml:space="preserve">Reporte de Balances </t>
  </si>
  <si>
    <t>RF10</t>
  </si>
  <si>
    <t>Necesidad de exportar reportes</t>
  </si>
  <si>
    <t>Exportar reportes en formatos PDF/Excel</t>
  </si>
  <si>
    <t>Permitir descarga y envío externo de datos</t>
  </si>
  <si>
    <t>Coordinadora</t>
  </si>
  <si>
    <t>1. Seleccionar Exportar Reporte. 2. Elegir tipo, formato y rango fechas. 3. Descargar automáticamente</t>
  </si>
  <si>
    <r>
      <rPr>
        <b/>
        <sz val="10"/>
        <color theme="1"/>
        <rFont val="Arial Narrow"/>
      </rPr>
      <t>Prueba de compatibilidad</t>
    </r>
    <r>
      <rPr>
        <sz val="10"/>
        <color theme="1"/>
        <rFont val="Arial Narrow"/>
      </rPr>
      <t>:
Exportar un reporte complejo a PDF y Excel, abrirlos en Acrobat, Excel y LibreOffice para validar formato, codificación y nombre del archivo.</t>
    </r>
  </si>
  <si>
    <t>Formato y rangos exportados</t>
  </si>
  <si>
    <t xml:space="preserve">Exportar reportes </t>
  </si>
  <si>
    <t>RF11</t>
  </si>
  <si>
    <t>Aparición de reportes solo comprendidos en visualización</t>
  </si>
  <si>
    <t>Visualizar reportes en interfaz</t>
  </si>
  <si>
    <t>Consultar datos sin descargar</t>
  </si>
  <si>
    <t>1. Seleccionar “Visualizar Reportes”. 2. Escoger tipo de reporte. 3. Mostrar vista con datos</t>
  </si>
  <si>
    <r>
      <rPr>
        <b/>
        <sz val="10"/>
        <color theme="1"/>
        <rFont val="Arial Narrow"/>
      </rPr>
      <t>Pruebas de seguridad</t>
    </r>
    <r>
      <rPr>
        <sz val="10"/>
        <color theme="1"/>
        <rFont val="Arial Narrow"/>
      </rPr>
      <t>:
Entrar con un usuario con permiso sólo de vista, validar que UI no ofrece export y que llamadas al endpoint de export devuelven 403.</t>
    </r>
  </si>
  <si>
    <t>Solo consultar, no exportar</t>
  </si>
  <si>
    <t xml:space="preserve">Visualizar Reportes </t>
  </si>
  <si>
    <t>RF12</t>
  </si>
  <si>
    <t>Gestión manual y poco segura de usuarios</t>
  </si>
  <si>
    <t>Gestionar Usuarios (crear/editar/eliminar)</t>
  </si>
  <si>
    <t>Mejorar administración y control de acceso</t>
  </si>
  <si>
    <t>1. Seleccionar “Gestionar Usuarios”. 2. Mostrar lista y acciones. 3. Crear, editar, eliminar usuarios</t>
  </si>
  <si>
    <r>
      <rPr>
        <b/>
        <sz val="10"/>
        <color theme="1"/>
        <rFont val="Arial Narrow"/>
      </rPr>
      <t>Pruebas de caja blanca y caja negra</t>
    </r>
    <r>
      <rPr>
        <sz val="10"/>
        <color theme="1"/>
        <rFont val="Arial Narrow"/>
      </rPr>
      <t>:
Crear un usuario con rol limitado y luego intentar realizar una acción restringida (p. ej. eliminar usuario o cambiar rol a admin); verificar rechazo y registro en auditoría.</t>
    </r>
  </si>
  <si>
    <t>Permisos y seguridad requeridos</t>
  </si>
  <si>
    <t xml:space="preserve">Gestionar Usuarios </t>
  </si>
  <si>
    <t>En proceso</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</si>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</sst>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0"/>
      <color rgb="FF000000"/>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b/>
      <sz val="10"/>
      <color theme="1"/>
      <name val="Arial Narrow"/>
    </font>
  </fonts>
  <fills count="10">
    <fill>
      <patternFill patternType="none"/>
    </fill>
    <fill>
      <patternFill patternType="gray125"/>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0">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4" borderId="4" xfId="0" applyFont="1" applyFill="1" applyBorder="1" applyAlignment="1">
      <alignment horizontal="center" vertical="center" wrapText="1"/>
    </xf>
    <xf numFmtId="164" fontId="5" fillId="0" borderId="4" xfId="0" applyNumberFormat="1" applyFont="1" applyBorder="1" applyAlignment="1">
      <alignment horizontal="center" vertical="center" wrapText="1"/>
    </xf>
    <xf numFmtId="0" fontId="6" fillId="4" borderId="4" xfId="0" applyFont="1" applyFill="1" applyBorder="1" applyAlignment="1">
      <alignment horizontal="center" vertical="center" wrapText="1"/>
    </xf>
    <xf numFmtId="49" fontId="5" fillId="0" borderId="4" xfId="0" applyNumberFormat="1" applyFont="1" applyBorder="1" applyAlignment="1">
      <alignment horizontal="center" vertical="center" wrapText="1"/>
    </xf>
    <xf numFmtId="0" fontId="6" fillId="0" borderId="4" xfId="0" applyFont="1" applyBorder="1" applyAlignment="1">
      <alignment horizontal="center" vertical="center" wrapText="1"/>
    </xf>
    <xf numFmtId="0" fontId="1" fillId="0" borderId="4" xfId="0" applyFont="1" applyBorder="1"/>
    <xf numFmtId="0" fontId="5" fillId="3" borderId="4" xfId="0" applyFont="1" applyFill="1" applyBorder="1" applyAlignment="1">
      <alignment vertical="center" wrapText="1"/>
    </xf>
    <xf numFmtId="0" fontId="5" fillId="0" borderId="4" xfId="0" applyFont="1" applyBorder="1" applyAlignment="1">
      <alignment vertical="center" wrapText="1"/>
    </xf>
    <xf numFmtId="0" fontId="6" fillId="4" borderId="4" xfId="0" applyFont="1" applyFill="1" applyBorder="1" applyAlignment="1">
      <alignment horizontal="left" vertical="center" wrapText="1"/>
    </xf>
    <xf numFmtId="0" fontId="1" fillId="0" borderId="4" xfId="0" applyFont="1" applyBorder="1" applyAlignment="1">
      <alignment horizontal="center" wrapText="1"/>
    </xf>
    <xf numFmtId="0" fontId="7" fillId="0" borderId="0" xfId="0" applyFont="1" applyAlignment="1">
      <alignment horizontal="center"/>
    </xf>
    <xf numFmtId="0" fontId="8" fillId="0" borderId="0" xfId="0" applyFont="1" applyAlignment="1">
      <alignment horizontal="left" vertical="center" wrapText="1"/>
    </xf>
    <xf numFmtId="0" fontId="9" fillId="0" borderId="0" xfId="0" applyFont="1"/>
    <xf numFmtId="0" fontId="11" fillId="0" borderId="0" xfId="0" applyFont="1"/>
    <xf numFmtId="0" fontId="8" fillId="0" borderId="0" xfId="0" applyFont="1" applyAlignment="1">
      <alignment horizontal="center" vertical="center" wrapText="1"/>
    </xf>
    <xf numFmtId="0" fontId="11" fillId="5" borderId="5" xfId="0" applyFont="1" applyFill="1" applyBorder="1"/>
    <xf numFmtId="0" fontId="8" fillId="5" borderId="6" xfId="0" applyFont="1" applyFill="1" applyBorder="1" applyAlignment="1">
      <alignment horizontal="left" vertical="center" wrapText="1"/>
    </xf>
    <xf numFmtId="0" fontId="9" fillId="5" borderId="6" xfId="0" applyFont="1" applyFill="1" applyBorder="1"/>
    <xf numFmtId="0" fontId="11" fillId="5" borderId="6" xfId="0" applyFont="1" applyFill="1" applyBorder="1"/>
    <xf numFmtId="0" fontId="11" fillId="5" borderId="7" xfId="0" applyFont="1" applyFill="1" applyBorder="1"/>
    <xf numFmtId="0" fontId="11" fillId="5" borderId="8" xfId="0" applyFont="1" applyFill="1" applyBorder="1"/>
    <xf numFmtId="0" fontId="12" fillId="6" borderId="4" xfId="0" applyFont="1" applyFill="1" applyBorder="1" applyAlignment="1">
      <alignment horizontal="center" vertical="center"/>
    </xf>
    <xf numFmtId="0" fontId="13" fillId="5" borderId="9" xfId="0" applyFont="1" applyFill="1" applyBorder="1" applyAlignment="1">
      <alignment vertical="center"/>
    </xf>
    <xf numFmtId="0" fontId="11" fillId="5" borderId="9" xfId="0" applyFont="1" applyFill="1" applyBorder="1"/>
    <xf numFmtId="0" fontId="11" fillId="5" borderId="10" xfId="0" applyFont="1" applyFill="1" applyBorder="1"/>
    <xf numFmtId="0" fontId="14" fillId="7" borderId="4" xfId="0" applyFont="1" applyFill="1" applyBorder="1" applyAlignment="1">
      <alignment horizontal="center" vertical="center"/>
    </xf>
    <xf numFmtId="0" fontId="9" fillId="5" borderId="9" xfId="0" applyFont="1" applyFill="1" applyBorder="1" applyAlignment="1">
      <alignment vertical="center" wrapText="1"/>
    </xf>
    <xf numFmtId="0" fontId="9" fillId="5" borderId="9" xfId="0" applyFont="1" applyFill="1" applyBorder="1" applyAlignment="1">
      <alignment vertical="center"/>
    </xf>
    <xf numFmtId="0" fontId="14" fillId="5" borderId="9" xfId="0" applyFont="1" applyFill="1" applyBorder="1" applyAlignment="1">
      <alignment horizontal="center" vertical="center"/>
    </xf>
    <xf numFmtId="0" fontId="9" fillId="5" borderId="9" xfId="0" applyFont="1" applyFill="1" applyBorder="1" applyAlignment="1">
      <alignment horizontal="center" vertical="center"/>
    </xf>
    <xf numFmtId="0" fontId="11" fillId="5" borderId="9" xfId="0" applyFont="1" applyFill="1" applyBorder="1" applyAlignment="1">
      <alignment horizontal="center"/>
    </xf>
    <xf numFmtId="0" fontId="11" fillId="5" borderId="28" xfId="0" applyFont="1" applyFill="1" applyBorder="1"/>
    <xf numFmtId="0" fontId="11" fillId="5" borderId="29" xfId="0" applyFont="1" applyFill="1" applyBorder="1"/>
    <xf numFmtId="0" fontId="11" fillId="5" borderId="30" xfId="0" applyFont="1" applyFill="1" applyBorder="1"/>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12" fillId="8" borderId="11" xfId="0" applyFont="1" applyFill="1" applyBorder="1" applyAlignment="1">
      <alignment horizontal="center" vertical="center"/>
    </xf>
    <xf numFmtId="0" fontId="3" fillId="0" borderId="15" xfId="0" applyFont="1" applyBorder="1"/>
    <xf numFmtId="0" fontId="3" fillId="0" borderId="18" xfId="0" applyFont="1" applyBorder="1"/>
    <xf numFmtId="0" fontId="9" fillId="7" borderId="12" xfId="0" applyFont="1" applyFill="1" applyBorder="1" applyAlignment="1">
      <alignment horizontal="left" vertical="center"/>
    </xf>
    <xf numFmtId="0" fontId="3" fillId="0" borderId="14" xfId="0" applyFont="1" applyBorder="1"/>
    <xf numFmtId="0" fontId="3" fillId="0" borderId="13" xfId="0" applyFont="1" applyBorder="1"/>
    <xf numFmtId="0" fontId="3" fillId="0" borderId="16" xfId="0" applyFont="1" applyBorder="1"/>
    <xf numFmtId="0" fontId="0" fillId="0" borderId="0" xfId="0"/>
    <xf numFmtId="0" fontId="3" fillId="0" borderId="17" xfId="0" applyFont="1" applyBorder="1"/>
    <xf numFmtId="0" fontId="3" fillId="0" borderId="19" xfId="0" applyFont="1" applyBorder="1"/>
    <xf numFmtId="0" fontId="3" fillId="0" borderId="21" xfId="0" applyFont="1" applyBorder="1"/>
    <xf numFmtId="0" fontId="3" fillId="0" borderId="20" xfId="0" applyFont="1" applyBorder="1"/>
    <xf numFmtId="0" fontId="14"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2"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15" fillId="9" borderId="12" xfId="0" applyFont="1" applyFill="1" applyBorder="1" applyAlignment="1">
      <alignment horizontal="center" vertical="center"/>
    </xf>
    <xf numFmtId="0" fontId="12" fillId="6" borderId="12" xfId="0" applyFont="1" applyFill="1" applyBorder="1" applyAlignment="1">
      <alignment horizontal="center" vertical="center"/>
    </xf>
    <xf numFmtId="49" fontId="9" fillId="7" borderId="12" xfId="0" applyNumberFormat="1" applyFont="1" applyFill="1" applyBorder="1" applyAlignment="1">
      <alignment horizontal="left" vertical="center"/>
    </xf>
    <xf numFmtId="0" fontId="10" fillId="5" borderId="1" xfId="0" applyFont="1" applyFill="1" applyBorder="1" applyAlignment="1">
      <alignment horizontal="center" vertical="center" wrapText="1"/>
    </xf>
    <xf numFmtId="0" fontId="9" fillId="7" borderId="12" xfId="0" applyFont="1" applyFill="1" applyBorder="1" applyAlignment="1">
      <alignment horizontal="center" vertical="center"/>
    </xf>
    <xf numFmtId="0" fontId="9" fillId="7" borderId="12" xfId="0" applyFont="1" applyFill="1" applyBorder="1" applyAlignment="1">
      <alignment horizontal="center" vertic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2.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1.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9"/>
  <sheetViews>
    <sheetView showGridLines="0" tabSelected="1" topLeftCell="E10" workbookViewId="0">
      <selection activeCell="E15" sqref="A15:XFD15"/>
    </sheetView>
  </sheetViews>
  <sheetFormatPr defaultColWidth="12.6640625" defaultRowHeight="15" customHeight="1" x14ac:dyDescent="0.3"/>
  <cols>
    <col min="1" max="1" width="4.6640625" customWidth="1"/>
    <col min="2" max="2" width="6.6640625" customWidth="1"/>
    <col min="3" max="5" width="20.6640625" customWidth="1"/>
    <col min="6" max="6" width="13.1640625" customWidth="1"/>
    <col min="7" max="7" width="32.5" customWidth="1"/>
    <col min="8" max="12" width="10.6640625" customWidth="1"/>
    <col min="13" max="13" width="39.5" customWidth="1"/>
    <col min="14" max="15" width="20.6640625" customWidth="1"/>
    <col min="16" max="26" width="9.4140625" customWidth="1"/>
  </cols>
  <sheetData>
    <row r="1" spans="1:26" ht="14" x14ac:dyDescent="0.3">
      <c r="A1" s="1"/>
      <c r="B1" s="1"/>
      <c r="C1" s="1"/>
      <c r="D1" s="1"/>
      <c r="E1" s="1"/>
      <c r="F1" s="1"/>
      <c r="G1" s="1"/>
      <c r="H1" s="1"/>
      <c r="I1" s="2"/>
      <c r="J1" s="2"/>
      <c r="K1" s="3"/>
      <c r="L1" s="2"/>
      <c r="M1" s="1"/>
      <c r="N1" s="1"/>
      <c r="O1" s="1"/>
      <c r="P1" s="1"/>
      <c r="Q1" s="1"/>
      <c r="R1" s="1"/>
      <c r="S1" s="1"/>
      <c r="T1" s="1"/>
      <c r="U1" s="1"/>
      <c r="V1" s="1"/>
      <c r="W1" s="1"/>
      <c r="X1" s="1"/>
      <c r="Y1" s="1"/>
      <c r="Z1" s="1"/>
    </row>
    <row r="2" spans="1:26" ht="14" x14ac:dyDescent="0.3">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3">
      <c r="A3" s="1"/>
      <c r="B3" s="41" t="s">
        <v>0</v>
      </c>
      <c r="C3" s="42"/>
      <c r="D3" s="42"/>
      <c r="E3" s="42"/>
      <c r="F3" s="42"/>
      <c r="G3" s="42"/>
      <c r="H3" s="42"/>
      <c r="I3" s="42"/>
      <c r="J3" s="42"/>
      <c r="K3" s="42"/>
      <c r="L3" s="42"/>
      <c r="M3" s="42"/>
      <c r="N3" s="42"/>
      <c r="O3" s="43"/>
      <c r="P3" s="1"/>
      <c r="Q3" s="1"/>
      <c r="R3" s="1"/>
      <c r="S3" s="1"/>
      <c r="T3" s="1"/>
      <c r="U3" s="1"/>
      <c r="V3" s="1"/>
      <c r="W3" s="1"/>
      <c r="X3" s="1"/>
      <c r="Y3" s="1"/>
      <c r="Z3" s="1"/>
    </row>
    <row r="4" spans="1:26" ht="14" x14ac:dyDescent="0.3">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3">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75.75" customHeight="1" x14ac:dyDescent="0.3">
      <c r="A6" s="1"/>
      <c r="B6" s="5" t="s">
        <v>15</v>
      </c>
      <c r="C6" s="6" t="s">
        <v>16</v>
      </c>
      <c r="D6" s="7" t="s">
        <v>17</v>
      </c>
      <c r="E6" s="7" t="s">
        <v>18</v>
      </c>
      <c r="F6" s="7" t="s">
        <v>19</v>
      </c>
      <c r="G6" s="7" t="s">
        <v>20</v>
      </c>
      <c r="H6" s="6" t="s">
        <v>21</v>
      </c>
      <c r="I6" s="6">
        <v>2</v>
      </c>
      <c r="J6" s="8">
        <v>45979</v>
      </c>
      <c r="K6" s="7" t="s">
        <v>22</v>
      </c>
      <c r="L6" s="6" t="s">
        <v>23</v>
      </c>
      <c r="M6" s="7" t="s">
        <v>24</v>
      </c>
      <c r="N6" s="7" t="s">
        <v>25</v>
      </c>
      <c r="O6" s="7" t="s">
        <v>26</v>
      </c>
      <c r="P6" s="1"/>
      <c r="Q6" s="1"/>
      <c r="R6" s="1"/>
      <c r="S6" s="1"/>
      <c r="T6" s="1"/>
      <c r="U6" s="1"/>
      <c r="V6" s="1"/>
      <c r="W6" s="1"/>
      <c r="X6" s="1"/>
      <c r="Y6" s="1"/>
      <c r="Z6" s="1"/>
    </row>
    <row r="7" spans="1:26" ht="75.75" customHeight="1" x14ac:dyDescent="0.3">
      <c r="A7" s="1"/>
      <c r="B7" s="5" t="s">
        <v>27</v>
      </c>
      <c r="C7" s="7" t="s">
        <v>28</v>
      </c>
      <c r="D7" s="7" t="s">
        <v>29</v>
      </c>
      <c r="E7" s="7" t="s">
        <v>30</v>
      </c>
      <c r="F7" s="7" t="s">
        <v>31</v>
      </c>
      <c r="G7" s="7" t="s">
        <v>32</v>
      </c>
      <c r="H7" s="7" t="s">
        <v>33</v>
      </c>
      <c r="I7" s="7">
        <v>3</v>
      </c>
      <c r="J7" s="8">
        <v>45979</v>
      </c>
      <c r="K7" s="7" t="s">
        <v>22</v>
      </c>
      <c r="L7" s="7" t="s">
        <v>23</v>
      </c>
      <c r="M7" s="7" t="s">
        <v>34</v>
      </c>
      <c r="N7" s="7" t="s">
        <v>35</v>
      </c>
      <c r="O7" s="7" t="s">
        <v>36</v>
      </c>
      <c r="P7" s="1"/>
      <c r="Q7" s="1"/>
      <c r="R7" s="1"/>
      <c r="S7" s="1"/>
      <c r="T7" s="1"/>
      <c r="U7" s="1"/>
      <c r="V7" s="1"/>
      <c r="W7" s="1"/>
      <c r="X7" s="1"/>
      <c r="Y7" s="1"/>
      <c r="Z7" s="1"/>
    </row>
    <row r="8" spans="1:26" ht="75.75" customHeight="1" x14ac:dyDescent="0.3">
      <c r="A8" s="1"/>
      <c r="B8" s="5" t="s">
        <v>37</v>
      </c>
      <c r="C8" s="7" t="s">
        <v>38</v>
      </c>
      <c r="D8" s="7" t="s">
        <v>39</v>
      </c>
      <c r="E8" s="7" t="s">
        <v>40</v>
      </c>
      <c r="F8" s="7" t="s">
        <v>31</v>
      </c>
      <c r="G8" s="7" t="s">
        <v>41</v>
      </c>
      <c r="H8" s="7" t="s">
        <v>42</v>
      </c>
      <c r="I8" s="7">
        <v>3</v>
      </c>
      <c r="J8" s="8">
        <v>45979</v>
      </c>
      <c r="K8" s="7" t="s">
        <v>22</v>
      </c>
      <c r="L8" s="7" t="s">
        <v>23</v>
      </c>
      <c r="M8" s="7" t="s">
        <v>43</v>
      </c>
      <c r="N8" s="7" t="s">
        <v>44</v>
      </c>
      <c r="O8" s="7" t="s">
        <v>45</v>
      </c>
      <c r="P8" s="1"/>
      <c r="Q8" s="1"/>
      <c r="R8" s="1"/>
      <c r="S8" s="1"/>
      <c r="T8" s="1"/>
      <c r="U8" s="1"/>
      <c r="V8" s="1"/>
      <c r="W8" s="1"/>
      <c r="X8" s="1"/>
      <c r="Y8" s="1"/>
      <c r="Z8" s="1"/>
    </row>
    <row r="9" spans="1:26" ht="75.75" customHeight="1" x14ac:dyDescent="0.3">
      <c r="A9" s="1"/>
      <c r="B9" s="5" t="s">
        <v>65</v>
      </c>
      <c r="C9" s="6" t="s">
        <v>66</v>
      </c>
      <c r="D9" s="9" t="s">
        <v>67</v>
      </c>
      <c r="E9" s="6" t="s">
        <v>68</v>
      </c>
      <c r="F9" s="6" t="s">
        <v>31</v>
      </c>
      <c r="G9" s="9" t="s">
        <v>69</v>
      </c>
      <c r="H9" s="6" t="s">
        <v>21</v>
      </c>
      <c r="I9" s="6">
        <v>3</v>
      </c>
      <c r="J9" s="8">
        <v>45983</v>
      </c>
      <c r="K9" s="6" t="s">
        <v>22</v>
      </c>
      <c r="L9" s="6" t="s">
        <v>23</v>
      </c>
      <c r="M9" s="6" t="s">
        <v>70</v>
      </c>
      <c r="N9" s="6" t="s">
        <v>71</v>
      </c>
      <c r="O9" s="6" t="s">
        <v>72</v>
      </c>
      <c r="P9" s="1"/>
      <c r="Q9" s="1"/>
      <c r="R9" s="1"/>
      <c r="S9" s="1"/>
      <c r="T9" s="1"/>
      <c r="U9" s="1"/>
      <c r="V9" s="1"/>
      <c r="W9" s="1"/>
      <c r="X9" s="1"/>
      <c r="Y9" s="1"/>
      <c r="Z9" s="1"/>
    </row>
    <row r="10" spans="1:26" ht="64.5" customHeight="1" x14ac:dyDescent="0.3">
      <c r="A10" s="1"/>
      <c r="B10" s="5" t="s">
        <v>48</v>
      </c>
      <c r="C10" s="6" t="s">
        <v>49</v>
      </c>
      <c r="D10" s="6" t="s">
        <v>50</v>
      </c>
      <c r="E10" s="6" t="s">
        <v>51</v>
      </c>
      <c r="F10" s="6" t="s">
        <v>31</v>
      </c>
      <c r="G10" s="6" t="s">
        <v>52</v>
      </c>
      <c r="H10" s="7" t="s">
        <v>33</v>
      </c>
      <c r="I10" s="6">
        <v>4</v>
      </c>
      <c r="J10" s="8">
        <v>45982</v>
      </c>
      <c r="K10" s="6" t="s">
        <v>53</v>
      </c>
      <c r="L10" s="6" t="s">
        <v>23</v>
      </c>
      <c r="M10" s="10" t="s">
        <v>54</v>
      </c>
      <c r="N10" s="6" t="s">
        <v>55</v>
      </c>
      <c r="O10" s="6" t="s">
        <v>56</v>
      </c>
      <c r="P10" s="1"/>
      <c r="Q10" s="1"/>
      <c r="R10" s="1"/>
      <c r="S10" s="1"/>
      <c r="T10" s="1"/>
      <c r="U10" s="1"/>
      <c r="V10" s="1"/>
      <c r="W10" s="1"/>
      <c r="X10" s="1"/>
      <c r="Y10" s="1"/>
      <c r="Z10" s="1"/>
    </row>
    <row r="11" spans="1:26" ht="61.5" customHeight="1" x14ac:dyDescent="0.3">
      <c r="A11" s="1"/>
      <c r="B11" s="5" t="s">
        <v>57</v>
      </c>
      <c r="C11" s="6" t="s">
        <v>58</v>
      </c>
      <c r="D11" s="11" t="s">
        <v>59</v>
      </c>
      <c r="E11" s="6" t="s">
        <v>60</v>
      </c>
      <c r="F11" s="6" t="s">
        <v>31</v>
      </c>
      <c r="G11" s="9" t="s">
        <v>61</v>
      </c>
      <c r="H11" s="7" t="s">
        <v>42</v>
      </c>
      <c r="I11" s="6">
        <v>4</v>
      </c>
      <c r="J11" s="8">
        <v>45982</v>
      </c>
      <c r="K11" s="6" t="s">
        <v>53</v>
      </c>
      <c r="L11" s="6" t="s">
        <v>23</v>
      </c>
      <c r="M11" s="6" t="s">
        <v>62</v>
      </c>
      <c r="N11" s="6" t="s">
        <v>63</v>
      </c>
      <c r="O11" s="6" t="s">
        <v>64</v>
      </c>
      <c r="P11" s="1"/>
      <c r="Q11" s="1"/>
      <c r="R11" s="1"/>
      <c r="S11" s="1"/>
      <c r="T11" s="1"/>
      <c r="U11" s="1"/>
      <c r="V11" s="1"/>
      <c r="W11" s="1"/>
      <c r="X11" s="1"/>
      <c r="Y11" s="1"/>
      <c r="Z11" s="1"/>
    </row>
    <row r="12" spans="1:26" ht="70.5" customHeight="1" x14ac:dyDescent="0.3">
      <c r="A12" s="1"/>
      <c r="B12" s="5" t="s">
        <v>73</v>
      </c>
      <c r="C12" s="6" t="s">
        <v>74</v>
      </c>
      <c r="D12" s="9" t="s">
        <v>75</v>
      </c>
      <c r="E12" s="6" t="s">
        <v>76</v>
      </c>
      <c r="F12" s="6" t="s">
        <v>31</v>
      </c>
      <c r="G12" s="9" t="s">
        <v>77</v>
      </c>
      <c r="H12" s="6" t="s">
        <v>21</v>
      </c>
      <c r="I12" s="6">
        <v>3</v>
      </c>
      <c r="J12" s="8">
        <v>45983</v>
      </c>
      <c r="K12" s="6" t="s">
        <v>22</v>
      </c>
      <c r="L12" s="6" t="s">
        <v>23</v>
      </c>
      <c r="M12" s="6" t="s">
        <v>78</v>
      </c>
      <c r="N12" s="12" t="s">
        <v>71</v>
      </c>
      <c r="O12" s="6" t="s">
        <v>79</v>
      </c>
      <c r="P12" s="1"/>
      <c r="Q12" s="1"/>
      <c r="R12" s="1"/>
      <c r="S12" s="1"/>
      <c r="T12" s="1"/>
      <c r="U12" s="1"/>
      <c r="V12" s="1"/>
      <c r="W12" s="1"/>
      <c r="X12" s="1"/>
      <c r="Y12" s="1"/>
      <c r="Z12" s="1"/>
    </row>
    <row r="13" spans="1:26" ht="61.5" customHeight="1" x14ac:dyDescent="0.3">
      <c r="A13" s="1"/>
      <c r="B13" s="5" t="s">
        <v>80</v>
      </c>
      <c r="C13" s="6" t="s">
        <v>81</v>
      </c>
      <c r="D13" s="6" t="s">
        <v>82</v>
      </c>
      <c r="E13" s="6" t="s">
        <v>83</v>
      </c>
      <c r="F13" s="6" t="s">
        <v>19</v>
      </c>
      <c r="G13" s="9" t="s">
        <v>84</v>
      </c>
      <c r="H13" s="7" t="s">
        <v>33</v>
      </c>
      <c r="I13" s="6">
        <v>3</v>
      </c>
      <c r="J13" s="8">
        <v>45985</v>
      </c>
      <c r="K13" s="6" t="s">
        <v>22</v>
      </c>
      <c r="L13" s="6" t="s">
        <v>23</v>
      </c>
      <c r="M13" s="6" t="s">
        <v>85</v>
      </c>
      <c r="N13" s="12" t="s">
        <v>71</v>
      </c>
      <c r="O13" s="6" t="s">
        <v>86</v>
      </c>
      <c r="P13" s="1"/>
      <c r="Q13" s="1"/>
      <c r="R13" s="1"/>
      <c r="S13" s="1"/>
      <c r="T13" s="1"/>
      <c r="U13" s="1"/>
      <c r="V13" s="1"/>
      <c r="W13" s="1"/>
      <c r="X13" s="1"/>
      <c r="Y13" s="1"/>
      <c r="Z13" s="1"/>
    </row>
    <row r="14" spans="1:26" ht="58.5" customHeight="1" x14ac:dyDescent="0.3">
      <c r="A14" s="1"/>
      <c r="B14" s="5" t="s">
        <v>104</v>
      </c>
      <c r="C14" s="6" t="s">
        <v>105</v>
      </c>
      <c r="D14" s="6" t="s">
        <v>106</v>
      </c>
      <c r="E14" s="6" t="s">
        <v>107</v>
      </c>
      <c r="F14" s="6" t="s">
        <v>31</v>
      </c>
      <c r="G14" s="9" t="s">
        <v>108</v>
      </c>
      <c r="H14" s="7" t="s">
        <v>33</v>
      </c>
      <c r="I14" s="6">
        <v>4</v>
      </c>
      <c r="J14" s="8">
        <v>45986</v>
      </c>
      <c r="K14" s="6" t="s">
        <v>22</v>
      </c>
      <c r="L14" s="6" t="s">
        <v>23</v>
      </c>
      <c r="M14" s="6" t="s">
        <v>109</v>
      </c>
      <c r="N14" s="12" t="s">
        <v>110</v>
      </c>
      <c r="O14" s="6" t="s">
        <v>111</v>
      </c>
      <c r="P14" s="1"/>
      <c r="Q14" s="1"/>
      <c r="R14" s="1"/>
      <c r="S14" s="1"/>
      <c r="T14" s="1"/>
      <c r="U14" s="1"/>
      <c r="V14" s="1"/>
      <c r="W14" s="1"/>
      <c r="X14" s="1"/>
      <c r="Y14" s="1"/>
      <c r="Z14" s="1"/>
    </row>
    <row r="15" spans="1:26" ht="72" customHeight="1" x14ac:dyDescent="0.3">
      <c r="A15" s="1"/>
      <c r="B15" s="5" t="s">
        <v>87</v>
      </c>
      <c r="C15" s="6" t="s">
        <v>88</v>
      </c>
      <c r="D15" s="6" t="s">
        <v>89</v>
      </c>
      <c r="E15" s="6" t="s">
        <v>90</v>
      </c>
      <c r="F15" s="6" t="s">
        <v>91</v>
      </c>
      <c r="G15" s="9" t="s">
        <v>92</v>
      </c>
      <c r="H15" s="7" t="s">
        <v>42</v>
      </c>
      <c r="I15" s="6">
        <v>2</v>
      </c>
      <c r="J15" s="8">
        <v>45986</v>
      </c>
      <c r="K15" s="6" t="s">
        <v>47</v>
      </c>
      <c r="L15" s="6" t="s">
        <v>23</v>
      </c>
      <c r="M15" s="6" t="s">
        <v>93</v>
      </c>
      <c r="N15" s="12" t="s">
        <v>94</v>
      </c>
      <c r="O15" s="6" t="s">
        <v>95</v>
      </c>
      <c r="P15" s="1"/>
      <c r="Q15" s="1"/>
      <c r="R15" s="1"/>
      <c r="S15" s="1"/>
      <c r="T15" s="1"/>
      <c r="U15" s="1"/>
      <c r="V15" s="1"/>
      <c r="W15" s="1"/>
      <c r="X15" s="1"/>
      <c r="Y15" s="1"/>
      <c r="Z15" s="1"/>
    </row>
    <row r="16" spans="1:26" ht="54.75" customHeight="1" x14ac:dyDescent="0.3">
      <c r="A16" s="1"/>
      <c r="B16" s="5" t="s">
        <v>96</v>
      </c>
      <c r="C16" s="6" t="s">
        <v>97</v>
      </c>
      <c r="D16" s="6" t="s">
        <v>98</v>
      </c>
      <c r="E16" s="6" t="s">
        <v>99</v>
      </c>
      <c r="F16" s="6" t="s">
        <v>91</v>
      </c>
      <c r="G16" s="9" t="s">
        <v>100</v>
      </c>
      <c r="H16" s="6" t="s">
        <v>21</v>
      </c>
      <c r="I16" s="6">
        <v>2</v>
      </c>
      <c r="J16" s="8">
        <v>45986</v>
      </c>
      <c r="K16" s="6" t="s">
        <v>47</v>
      </c>
      <c r="L16" s="6" t="s">
        <v>23</v>
      </c>
      <c r="M16" s="6" t="s">
        <v>101</v>
      </c>
      <c r="N16" s="12" t="s">
        <v>102</v>
      </c>
      <c r="O16" s="6" t="s">
        <v>103</v>
      </c>
      <c r="P16" s="1"/>
      <c r="Q16" s="1"/>
      <c r="R16" s="1"/>
      <c r="S16" s="1"/>
      <c r="T16" s="1"/>
      <c r="U16" s="1"/>
      <c r="V16" s="1"/>
      <c r="W16" s="1"/>
      <c r="X16" s="1"/>
      <c r="Y16" s="1"/>
      <c r="Z16" s="1"/>
    </row>
    <row r="17" spans="1:26" ht="39.75" customHeight="1" x14ac:dyDescent="0.3">
      <c r="A17" s="1"/>
      <c r="B17" s="5"/>
      <c r="C17" s="6"/>
      <c r="D17" s="6"/>
      <c r="E17" s="6"/>
      <c r="F17" s="6"/>
      <c r="G17" s="9"/>
      <c r="H17" s="6"/>
      <c r="I17" s="6"/>
      <c r="J17" s="8"/>
      <c r="K17" s="6"/>
      <c r="L17" s="6"/>
      <c r="M17" s="6"/>
      <c r="N17" s="12"/>
      <c r="O17" s="6"/>
      <c r="P17" s="1"/>
      <c r="Q17" s="1"/>
      <c r="R17" s="1"/>
      <c r="S17" s="1"/>
      <c r="T17" s="1"/>
      <c r="U17" s="1"/>
      <c r="V17" s="1"/>
      <c r="W17" s="1"/>
      <c r="X17" s="1"/>
      <c r="Y17" s="1"/>
      <c r="Z17" s="1"/>
    </row>
    <row r="18" spans="1:26" ht="39.75" customHeight="1" x14ac:dyDescent="0.3">
      <c r="A18" s="1"/>
      <c r="B18" s="5"/>
      <c r="C18" s="6"/>
      <c r="D18" s="6"/>
      <c r="E18" s="6"/>
      <c r="F18" s="6"/>
      <c r="G18" s="9"/>
      <c r="H18" s="6"/>
      <c r="I18" s="6"/>
      <c r="J18" s="8"/>
      <c r="K18" s="6"/>
      <c r="L18" s="6"/>
      <c r="M18" s="6"/>
      <c r="N18" s="12"/>
      <c r="O18" s="6"/>
      <c r="P18" s="1"/>
      <c r="Q18" s="1"/>
      <c r="R18" s="1"/>
      <c r="S18" s="1"/>
      <c r="T18" s="1"/>
      <c r="U18" s="1"/>
      <c r="V18" s="1"/>
      <c r="W18" s="1"/>
      <c r="X18" s="1"/>
      <c r="Y18" s="1"/>
      <c r="Z18" s="1"/>
    </row>
    <row r="19" spans="1:26" ht="14" x14ac:dyDescent="0.3">
      <c r="A19" s="1"/>
      <c r="B19" s="13"/>
      <c r="C19" s="14"/>
      <c r="D19" s="14"/>
      <c r="E19" s="14"/>
      <c r="F19" s="14"/>
      <c r="G19" s="14"/>
      <c r="H19" s="6"/>
      <c r="I19" s="6"/>
      <c r="J19" s="8"/>
      <c r="K19" s="6"/>
      <c r="L19" s="6"/>
      <c r="M19" s="15"/>
      <c r="N19" s="14"/>
      <c r="O19" s="16"/>
      <c r="P19" s="1"/>
      <c r="Q19" s="1"/>
      <c r="R19" s="1"/>
      <c r="S19" s="1"/>
      <c r="T19" s="1"/>
      <c r="U19" s="1"/>
      <c r="V19" s="1"/>
      <c r="W19" s="1"/>
      <c r="X19" s="1"/>
      <c r="Y19" s="1"/>
      <c r="Z19" s="1"/>
    </row>
    <row r="20" spans="1:26" ht="15.75" customHeight="1" x14ac:dyDescent="0.3">
      <c r="A20" s="1"/>
      <c r="B20" s="13"/>
      <c r="C20" s="14"/>
      <c r="D20" s="14"/>
      <c r="E20" s="14"/>
      <c r="F20" s="14"/>
      <c r="G20" s="14"/>
      <c r="H20" s="6"/>
      <c r="I20" s="6"/>
      <c r="J20" s="8"/>
      <c r="K20" s="6"/>
      <c r="L20" s="6"/>
      <c r="M20" s="14"/>
      <c r="N20" s="14"/>
      <c r="O20" s="16"/>
      <c r="P20" s="1"/>
      <c r="Q20" s="1"/>
      <c r="R20" s="1"/>
      <c r="S20" s="1"/>
      <c r="T20" s="1"/>
      <c r="U20" s="1"/>
      <c r="V20" s="1"/>
      <c r="W20" s="1"/>
      <c r="X20" s="1"/>
      <c r="Y20" s="1"/>
      <c r="Z20" s="1"/>
    </row>
    <row r="21" spans="1:26" ht="15.75" customHeight="1" x14ac:dyDescent="0.3">
      <c r="A21" s="1"/>
      <c r="B21" s="13"/>
      <c r="C21" s="14"/>
      <c r="D21" s="14"/>
      <c r="E21" s="14"/>
      <c r="F21" s="14"/>
      <c r="G21" s="14"/>
      <c r="H21" s="6"/>
      <c r="I21" s="6"/>
      <c r="J21" s="8"/>
      <c r="K21" s="6"/>
      <c r="L21" s="6"/>
      <c r="M21" s="14"/>
      <c r="N21" s="14"/>
      <c r="O21" s="16"/>
      <c r="P21" s="1"/>
      <c r="Q21" s="1"/>
      <c r="R21" s="1"/>
      <c r="S21" s="1"/>
      <c r="T21" s="1"/>
      <c r="U21" s="1"/>
      <c r="V21" s="1"/>
      <c r="W21" s="1"/>
      <c r="X21" s="1"/>
      <c r="Y21" s="1"/>
      <c r="Z21" s="1"/>
    </row>
    <row r="22" spans="1:26" ht="15.75" customHeight="1" x14ac:dyDescent="0.3">
      <c r="A22" s="1"/>
      <c r="B22" s="13"/>
      <c r="C22" s="14"/>
      <c r="D22" s="14"/>
      <c r="E22" s="14"/>
      <c r="F22" s="14"/>
      <c r="G22" s="14"/>
      <c r="H22" s="6"/>
      <c r="I22" s="6"/>
      <c r="J22" s="8"/>
      <c r="K22" s="6"/>
      <c r="L22" s="6"/>
      <c r="M22" s="14"/>
      <c r="N22" s="14"/>
      <c r="O22" s="16"/>
      <c r="P22" s="1"/>
      <c r="Q22" s="1"/>
      <c r="R22" s="1"/>
      <c r="S22" s="1"/>
      <c r="T22" s="1"/>
      <c r="U22" s="1"/>
      <c r="V22" s="1"/>
      <c r="W22" s="1"/>
      <c r="X22" s="1"/>
      <c r="Y22" s="1"/>
      <c r="Z22" s="1"/>
    </row>
    <row r="23" spans="1:26" ht="15.75" customHeight="1" x14ac:dyDescent="0.3">
      <c r="A23" s="1"/>
      <c r="B23" s="13"/>
      <c r="C23" s="6"/>
      <c r="D23" s="6"/>
      <c r="E23" s="6"/>
      <c r="F23" s="6"/>
      <c r="G23" s="6"/>
      <c r="H23" s="6"/>
      <c r="I23" s="6"/>
      <c r="J23" s="8"/>
      <c r="K23" s="6"/>
      <c r="L23" s="6"/>
      <c r="M23" s="10"/>
      <c r="N23" s="6"/>
      <c r="O23" s="6"/>
      <c r="P23" s="1"/>
      <c r="Q23" s="1"/>
      <c r="R23" s="1"/>
      <c r="S23" s="1"/>
      <c r="T23" s="1"/>
      <c r="U23" s="1"/>
      <c r="V23" s="1"/>
      <c r="W23" s="1"/>
      <c r="X23" s="1"/>
      <c r="Y23" s="1"/>
      <c r="Z23" s="1"/>
    </row>
    <row r="24" spans="1:26" ht="75.75" customHeight="1" x14ac:dyDescent="0.3">
      <c r="A24" s="1"/>
      <c r="B24" s="13"/>
      <c r="C24" s="6"/>
      <c r="D24" s="6"/>
      <c r="E24" s="6"/>
      <c r="F24" s="6"/>
      <c r="G24" s="6"/>
      <c r="H24" s="6"/>
      <c r="I24" s="6"/>
      <c r="J24" s="8"/>
      <c r="K24" s="6"/>
      <c r="L24" s="6"/>
      <c r="M24" s="10"/>
      <c r="N24" s="6"/>
      <c r="O24" s="6"/>
      <c r="P24" s="1"/>
      <c r="Q24" s="1"/>
      <c r="R24" s="1"/>
      <c r="S24" s="1"/>
      <c r="T24" s="1"/>
      <c r="U24" s="1"/>
      <c r="V24" s="1"/>
      <c r="W24" s="1"/>
      <c r="X24" s="1"/>
      <c r="Y24" s="1"/>
      <c r="Z24" s="1"/>
    </row>
    <row r="25" spans="1:26" ht="75.75" customHeight="1" x14ac:dyDescent="0.3">
      <c r="A25" s="1"/>
      <c r="B25" s="13"/>
      <c r="C25" s="6"/>
      <c r="D25" s="6"/>
      <c r="E25" s="6"/>
      <c r="F25" s="6"/>
      <c r="G25" s="9"/>
      <c r="H25" s="6"/>
      <c r="I25" s="6"/>
      <c r="J25" s="8"/>
      <c r="K25" s="6"/>
      <c r="L25" s="6"/>
      <c r="M25" s="10"/>
      <c r="N25" s="6"/>
      <c r="O25" s="6"/>
      <c r="P25" s="1"/>
      <c r="Q25" s="1"/>
      <c r="R25" s="1"/>
      <c r="S25" s="1"/>
      <c r="T25" s="1"/>
      <c r="U25" s="1"/>
      <c r="V25" s="1"/>
      <c r="W25" s="1"/>
      <c r="X25" s="1"/>
      <c r="Y25" s="1"/>
      <c r="Z25" s="1"/>
    </row>
    <row r="26" spans="1:26" ht="75.75" customHeight="1" x14ac:dyDescent="0.3">
      <c r="A26" s="1"/>
      <c r="B26" s="13"/>
      <c r="C26" s="6"/>
      <c r="D26" s="9"/>
      <c r="E26" s="6"/>
      <c r="F26" s="6"/>
      <c r="G26" s="9"/>
      <c r="H26" s="6"/>
      <c r="I26" s="6"/>
      <c r="J26" s="8"/>
      <c r="K26" s="6"/>
      <c r="L26" s="6"/>
      <c r="M26" s="10"/>
      <c r="N26" s="6"/>
      <c r="O26" s="6"/>
      <c r="P26" s="1"/>
      <c r="Q26" s="1"/>
      <c r="R26" s="1"/>
      <c r="S26" s="1"/>
      <c r="T26" s="1"/>
      <c r="U26" s="1"/>
      <c r="V26" s="1"/>
      <c r="W26" s="1"/>
      <c r="X26" s="1"/>
      <c r="Y26" s="1"/>
      <c r="Z26" s="1"/>
    </row>
    <row r="27" spans="1:26" ht="19.5" customHeight="1" x14ac:dyDescent="0.3">
      <c r="A27" s="1"/>
      <c r="B27" s="1"/>
      <c r="C27" s="1"/>
      <c r="D27" s="1"/>
      <c r="E27" s="1"/>
      <c r="F27" s="1"/>
      <c r="G27" s="1"/>
      <c r="H27" s="1"/>
      <c r="I27" s="2"/>
      <c r="J27" s="2"/>
      <c r="K27" s="17"/>
      <c r="L27" s="2"/>
      <c r="M27" s="1"/>
      <c r="N27" s="1"/>
      <c r="O27" s="1"/>
      <c r="P27" s="1"/>
      <c r="Q27" s="1"/>
      <c r="R27" s="1"/>
      <c r="S27" s="1"/>
      <c r="T27" s="1"/>
      <c r="U27" s="1"/>
      <c r="V27" s="1"/>
      <c r="W27" s="1"/>
      <c r="X27" s="1"/>
      <c r="Y27" s="1"/>
      <c r="Z27" s="1"/>
    </row>
    <row r="28" spans="1:26" ht="19.5" customHeight="1" x14ac:dyDescent="0.3">
      <c r="A28" s="1"/>
      <c r="B28" s="1"/>
      <c r="C28" s="1"/>
      <c r="D28" s="1"/>
      <c r="E28" s="1"/>
      <c r="F28" s="1"/>
      <c r="G28" s="1"/>
      <c r="H28" s="1"/>
      <c r="I28" s="2"/>
      <c r="J28" s="2"/>
      <c r="K28" s="17"/>
      <c r="L28" s="2"/>
      <c r="M28" s="1"/>
      <c r="N28" s="1"/>
      <c r="O28" s="1"/>
      <c r="P28" s="1"/>
      <c r="Q28" s="1"/>
      <c r="R28" s="1"/>
      <c r="S28" s="1"/>
      <c r="T28" s="1"/>
      <c r="U28" s="1"/>
      <c r="V28" s="1"/>
      <c r="W28" s="1"/>
      <c r="X28" s="1"/>
      <c r="Y28" s="1"/>
      <c r="Z28" s="1"/>
    </row>
    <row r="29" spans="1:26" ht="19.5" customHeight="1" x14ac:dyDescent="0.3">
      <c r="A29" s="1"/>
      <c r="B29" s="1"/>
      <c r="C29" s="1"/>
      <c r="D29" s="1"/>
      <c r="E29" s="1"/>
      <c r="F29" s="1"/>
      <c r="G29" s="1"/>
      <c r="H29" s="1"/>
      <c r="I29" s="2"/>
      <c r="J29" s="2"/>
      <c r="K29" s="3"/>
      <c r="L29" s="2"/>
      <c r="M29" s="1"/>
      <c r="N29" s="1"/>
      <c r="O29" s="1"/>
      <c r="P29" s="1"/>
      <c r="Q29" s="1"/>
      <c r="R29" s="1"/>
      <c r="S29" s="1"/>
      <c r="T29" s="1"/>
      <c r="U29" s="1"/>
      <c r="V29" s="1"/>
      <c r="W29" s="1"/>
      <c r="X29" s="1"/>
      <c r="Y29" s="1"/>
      <c r="Z29" s="1"/>
    </row>
    <row r="30" spans="1:26" ht="19.5" customHeight="1" x14ac:dyDescent="0.3">
      <c r="A30" s="1"/>
      <c r="B30" s="1"/>
      <c r="C30" s="1"/>
      <c r="D30" s="1"/>
      <c r="E30" s="1"/>
      <c r="F30" s="1"/>
      <c r="G30" s="1"/>
      <c r="H30" s="1"/>
      <c r="I30" s="2"/>
      <c r="J30" s="1"/>
      <c r="K30" s="1"/>
      <c r="L30" s="1"/>
      <c r="M30" s="1"/>
      <c r="N30" s="1"/>
      <c r="O30" s="1"/>
      <c r="P30" s="1"/>
      <c r="Q30" s="1"/>
      <c r="R30" s="1"/>
      <c r="S30" s="1"/>
      <c r="T30" s="1"/>
      <c r="U30" s="1"/>
      <c r="V30" s="1"/>
      <c r="W30" s="1"/>
      <c r="X30" s="1"/>
      <c r="Y30" s="1"/>
      <c r="Z30" s="1"/>
    </row>
    <row r="31" spans="1:26" ht="19.5" customHeight="1" x14ac:dyDescent="0.3">
      <c r="A31" s="1"/>
      <c r="B31" s="1"/>
      <c r="C31" s="1"/>
      <c r="D31" s="1"/>
      <c r="E31" s="1"/>
      <c r="F31" s="1"/>
      <c r="G31" s="1"/>
      <c r="H31" s="1"/>
      <c r="I31" s="2"/>
      <c r="J31" s="1"/>
      <c r="K31" s="1"/>
      <c r="L31" s="1"/>
      <c r="M31" s="1"/>
      <c r="N31" s="1"/>
      <c r="O31" s="1"/>
      <c r="P31" s="1"/>
      <c r="Q31" s="1"/>
      <c r="R31" s="1"/>
      <c r="S31" s="1"/>
      <c r="T31" s="1"/>
      <c r="U31" s="1"/>
      <c r="V31" s="1"/>
      <c r="W31" s="1"/>
      <c r="X31" s="1"/>
      <c r="Y31" s="1"/>
      <c r="Z31" s="1"/>
    </row>
    <row r="32" spans="1:26" ht="19.5" customHeight="1" x14ac:dyDescent="0.3">
      <c r="A32" s="1"/>
      <c r="B32" s="1"/>
      <c r="C32" s="1"/>
      <c r="D32" s="1"/>
      <c r="E32" s="1"/>
      <c r="F32" s="1"/>
      <c r="G32" s="1"/>
      <c r="H32" s="1"/>
      <c r="I32" s="2"/>
      <c r="J32" s="1"/>
      <c r="K32" s="3" t="s">
        <v>22</v>
      </c>
      <c r="L32" s="3" t="s">
        <v>23</v>
      </c>
      <c r="M32" s="1"/>
      <c r="N32" s="1"/>
      <c r="O32" s="1"/>
      <c r="P32" s="1"/>
      <c r="Q32" s="1"/>
      <c r="R32" s="1"/>
      <c r="S32" s="1"/>
      <c r="T32" s="1"/>
      <c r="U32" s="1"/>
      <c r="V32" s="1"/>
      <c r="W32" s="1"/>
      <c r="X32" s="1"/>
      <c r="Y32" s="1"/>
      <c r="Z32" s="1"/>
    </row>
    <row r="33" spans="1:26" ht="19.5" customHeight="1" x14ac:dyDescent="0.3">
      <c r="A33" s="1"/>
      <c r="B33" s="1"/>
      <c r="C33" s="1"/>
      <c r="D33" s="1"/>
      <c r="E33" s="1"/>
      <c r="F33" s="1"/>
      <c r="G33" s="1"/>
      <c r="H33" s="1"/>
      <c r="I33" s="2"/>
      <c r="J33" s="1"/>
      <c r="K33" s="3" t="s">
        <v>47</v>
      </c>
      <c r="L33" s="3" t="s">
        <v>112</v>
      </c>
      <c r="M33" s="1"/>
      <c r="N33" s="1"/>
      <c r="O33" s="1"/>
      <c r="P33" s="1"/>
      <c r="Q33" s="1"/>
      <c r="R33" s="1"/>
      <c r="S33" s="1"/>
      <c r="T33" s="1"/>
      <c r="U33" s="1"/>
      <c r="V33" s="1"/>
      <c r="W33" s="1"/>
      <c r="X33" s="1"/>
      <c r="Y33" s="1"/>
      <c r="Z33" s="1"/>
    </row>
    <row r="34" spans="1:26" ht="19.5" customHeight="1" x14ac:dyDescent="0.3">
      <c r="A34" s="1"/>
      <c r="B34" s="1"/>
      <c r="C34" s="1"/>
      <c r="D34" s="1"/>
      <c r="E34" s="1"/>
      <c r="F34" s="1"/>
      <c r="G34" s="1"/>
      <c r="H34" s="1"/>
      <c r="I34" s="2"/>
      <c r="J34" s="1"/>
      <c r="K34" s="3" t="s">
        <v>53</v>
      </c>
      <c r="L34" s="3" t="s">
        <v>113</v>
      </c>
      <c r="M34" s="1"/>
      <c r="N34" s="1"/>
      <c r="O34" s="1"/>
      <c r="P34" s="1"/>
      <c r="Q34" s="1"/>
      <c r="R34" s="1"/>
      <c r="S34" s="1"/>
      <c r="T34" s="1"/>
      <c r="U34" s="1"/>
      <c r="V34" s="1"/>
      <c r="W34" s="1"/>
      <c r="X34" s="1"/>
      <c r="Y34" s="1"/>
      <c r="Z34" s="1"/>
    </row>
    <row r="35" spans="1:26" ht="19.5" customHeight="1" x14ac:dyDescent="0.3">
      <c r="A35" s="1"/>
      <c r="B35" s="1"/>
      <c r="C35" s="1"/>
      <c r="D35" s="1"/>
      <c r="E35" s="1"/>
      <c r="F35" s="1"/>
      <c r="G35" s="1"/>
      <c r="H35" s="1"/>
      <c r="I35" s="2"/>
      <c r="J35" s="1"/>
      <c r="K35" s="3"/>
      <c r="L35" s="3" t="s">
        <v>114</v>
      </c>
      <c r="M35" s="1"/>
      <c r="N35" s="1"/>
      <c r="O35" s="1"/>
      <c r="P35" s="1"/>
      <c r="Q35" s="1"/>
      <c r="R35" s="1"/>
      <c r="S35" s="1"/>
      <c r="T35" s="1"/>
      <c r="U35" s="1"/>
      <c r="V35" s="1"/>
      <c r="W35" s="1"/>
      <c r="X35" s="1"/>
      <c r="Y35" s="1"/>
      <c r="Z35" s="1"/>
    </row>
    <row r="36" spans="1:26" ht="19.5" customHeight="1" x14ac:dyDescent="0.3">
      <c r="A36" s="1"/>
      <c r="B36" s="1"/>
      <c r="C36" s="1"/>
      <c r="D36" s="1"/>
      <c r="E36" s="1"/>
      <c r="F36" s="1"/>
      <c r="G36" s="1"/>
      <c r="H36" s="1"/>
      <c r="I36" s="2"/>
      <c r="J36" s="1"/>
      <c r="K36" s="1"/>
      <c r="L36" s="1"/>
      <c r="M36" s="1"/>
      <c r="N36" s="1"/>
      <c r="O36" s="1"/>
      <c r="P36" s="1"/>
      <c r="Q36" s="1"/>
      <c r="R36" s="1"/>
      <c r="S36" s="1"/>
      <c r="T36" s="1"/>
      <c r="U36" s="1"/>
      <c r="V36" s="1"/>
      <c r="W36" s="1"/>
      <c r="X36" s="1"/>
      <c r="Y36" s="1"/>
      <c r="Z36" s="1"/>
    </row>
    <row r="37" spans="1:26" ht="19.5" customHeight="1" x14ac:dyDescent="0.3">
      <c r="A37" s="1"/>
      <c r="B37" s="1"/>
      <c r="C37" s="1"/>
      <c r="D37" s="1"/>
      <c r="E37" s="1"/>
      <c r="F37" s="1"/>
      <c r="G37" s="1"/>
      <c r="H37" s="1"/>
      <c r="I37" s="2"/>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2"/>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2"/>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2"/>
      <c r="J40" s="2"/>
      <c r="K40" s="3"/>
      <c r="L40" s="2"/>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2"/>
      <c r="J41" s="2"/>
      <c r="K41" s="3"/>
      <c r="L41" s="2"/>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2"/>
      <c r="J42" s="2"/>
      <c r="K42" s="3"/>
      <c r="L42" s="2"/>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2"/>
      <c r="J43" s="2"/>
      <c r="K43" s="3"/>
      <c r="L43" s="2"/>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2"/>
      <c r="J44" s="2"/>
      <c r="K44" s="3"/>
      <c r="L44" s="2"/>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2"/>
      <c r="J45" s="2"/>
      <c r="K45" s="3"/>
      <c r="L45" s="2"/>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2"/>
      <c r="J46" s="2"/>
      <c r="K46" s="3"/>
      <c r="L46" s="2"/>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2"/>
      <c r="J47" s="2"/>
      <c r="K47" s="3"/>
      <c r="L47" s="2"/>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2"/>
      <c r="J48" s="2"/>
      <c r="K48" s="3"/>
      <c r="L48" s="2"/>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2"/>
      <c r="J49" s="2"/>
      <c r="K49" s="3"/>
      <c r="L49" s="2"/>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2"/>
      <c r="J50" s="2"/>
      <c r="K50" s="3"/>
      <c r="L50" s="2"/>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2"/>
      <c r="J51" s="2"/>
      <c r="K51" s="3"/>
      <c r="L51" s="2"/>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2"/>
      <c r="J52" s="2"/>
      <c r="K52" s="3"/>
      <c r="L52" s="2"/>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2"/>
      <c r="J53" s="2"/>
      <c r="K53" s="3"/>
      <c r="L53" s="2"/>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2"/>
      <c r="J54" s="2"/>
      <c r="K54" s="3"/>
      <c r="L54" s="2"/>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2"/>
      <c r="J55" s="2"/>
      <c r="K55" s="3"/>
      <c r="L55" s="2"/>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2"/>
      <c r="J56" s="2"/>
      <c r="K56" s="3"/>
      <c r="L56" s="2"/>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2"/>
      <c r="J57" s="2"/>
      <c r="K57" s="3"/>
      <c r="L57" s="2"/>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2"/>
      <c r="J58" s="2"/>
      <c r="K58" s="3"/>
      <c r="L58" s="2"/>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2"/>
      <c r="J59" s="2"/>
      <c r="K59" s="3"/>
      <c r="L59" s="2"/>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2"/>
      <c r="J60" s="2"/>
      <c r="K60" s="3"/>
      <c r="L60" s="2"/>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2"/>
      <c r="J61" s="2"/>
      <c r="K61" s="3"/>
      <c r="L61" s="2"/>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2"/>
      <c r="J62" s="2"/>
      <c r="K62" s="3"/>
      <c r="L62" s="2"/>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2"/>
      <c r="J63" s="2"/>
      <c r="K63" s="3"/>
      <c r="L63" s="2"/>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2"/>
      <c r="J64" s="2"/>
      <c r="K64" s="3"/>
      <c r="L64" s="2"/>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2"/>
      <c r="J65" s="2"/>
      <c r="K65" s="3"/>
      <c r="L65" s="2"/>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2"/>
      <c r="J66" s="2"/>
      <c r="K66" s="3"/>
      <c r="L66" s="2"/>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2"/>
      <c r="J67" s="2"/>
      <c r="K67" s="3"/>
      <c r="L67" s="2"/>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2"/>
      <c r="J68" s="2"/>
      <c r="K68" s="3"/>
      <c r="L68" s="2"/>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2"/>
      <c r="J69" s="2"/>
      <c r="K69" s="3"/>
      <c r="L69" s="2"/>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2"/>
      <c r="J70" s="2"/>
      <c r="K70" s="3"/>
      <c r="L70" s="2"/>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2"/>
      <c r="J71" s="2"/>
      <c r="K71" s="3"/>
      <c r="L71" s="2"/>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2"/>
      <c r="J72" s="2"/>
      <c r="K72" s="3"/>
      <c r="L72" s="2"/>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2"/>
      <c r="J73" s="2"/>
      <c r="K73" s="3"/>
      <c r="L73" s="2"/>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2"/>
      <c r="J74" s="2"/>
      <c r="K74" s="3"/>
      <c r="L74" s="2"/>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2"/>
      <c r="J75" s="2"/>
      <c r="K75" s="3"/>
      <c r="L75" s="2"/>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2"/>
      <c r="J76" s="2"/>
      <c r="K76" s="3"/>
      <c r="L76" s="2"/>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2"/>
      <c r="J77" s="2"/>
      <c r="K77" s="3"/>
      <c r="L77" s="2"/>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2"/>
      <c r="J78" s="2"/>
      <c r="K78" s="3"/>
      <c r="L78" s="2"/>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2"/>
      <c r="J79" s="2"/>
      <c r="K79" s="3"/>
      <c r="L79" s="2"/>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2"/>
      <c r="J80" s="2"/>
      <c r="K80" s="3"/>
      <c r="L80" s="2"/>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2"/>
      <c r="J81" s="2"/>
      <c r="K81" s="3"/>
      <c r="L81" s="2"/>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2"/>
      <c r="J82" s="2"/>
      <c r="K82" s="3"/>
      <c r="L82" s="2"/>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2"/>
      <c r="J83" s="2"/>
      <c r="K83" s="3"/>
      <c r="L83" s="2"/>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2"/>
      <c r="J84" s="2"/>
      <c r="K84" s="3"/>
      <c r="L84" s="2"/>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2"/>
      <c r="J85" s="2"/>
      <c r="K85" s="3"/>
      <c r="L85" s="2"/>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2"/>
      <c r="J86" s="2"/>
      <c r="K86" s="3"/>
      <c r="L86" s="2"/>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2"/>
      <c r="J87" s="2"/>
      <c r="K87" s="3"/>
      <c r="L87" s="2"/>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2"/>
      <c r="J88" s="2"/>
      <c r="K88" s="3"/>
      <c r="L88" s="2"/>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2"/>
      <c r="J89" s="2"/>
      <c r="K89" s="3"/>
      <c r="L89" s="2"/>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2"/>
      <c r="J90" s="2"/>
      <c r="K90" s="3"/>
      <c r="L90" s="2"/>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2"/>
      <c r="J91" s="2"/>
      <c r="K91" s="3"/>
      <c r="L91" s="2"/>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2"/>
      <c r="J92" s="2"/>
      <c r="K92" s="3"/>
      <c r="L92" s="2"/>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2"/>
      <c r="J93" s="2"/>
      <c r="K93" s="3"/>
      <c r="L93" s="2"/>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2"/>
      <c r="J94" s="2"/>
      <c r="K94" s="3"/>
      <c r="L94" s="2"/>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2"/>
      <c r="J95" s="2"/>
      <c r="K95" s="3"/>
      <c r="L95" s="2"/>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2"/>
      <c r="J96" s="2"/>
      <c r="K96" s="3"/>
      <c r="L96" s="2"/>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2"/>
      <c r="J97" s="2"/>
      <c r="K97" s="3"/>
      <c r="L97" s="2"/>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2"/>
      <c r="J98" s="2"/>
      <c r="K98" s="3"/>
      <c r="L98" s="2"/>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2"/>
      <c r="J99" s="2"/>
      <c r="K99" s="3"/>
      <c r="L99" s="2"/>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2"/>
      <c r="J100" s="2"/>
      <c r="K100" s="3"/>
      <c r="L100" s="2"/>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2"/>
      <c r="J101" s="2"/>
      <c r="K101" s="3"/>
      <c r="L101" s="2"/>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2"/>
      <c r="J102" s="2"/>
      <c r="K102" s="3"/>
      <c r="L102" s="2"/>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2"/>
      <c r="J103" s="2"/>
      <c r="K103" s="3"/>
      <c r="L103" s="2"/>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2"/>
      <c r="J104" s="2"/>
      <c r="K104" s="3"/>
      <c r="L104" s="2"/>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2"/>
      <c r="J105" s="2"/>
      <c r="K105" s="3"/>
      <c r="L105" s="2"/>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2"/>
      <c r="J106" s="2"/>
      <c r="K106" s="3"/>
      <c r="L106" s="2"/>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2"/>
      <c r="J107" s="2"/>
      <c r="K107" s="3"/>
      <c r="L107" s="2"/>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2"/>
      <c r="J108" s="2"/>
      <c r="K108" s="3"/>
      <c r="L108" s="2"/>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2"/>
      <c r="J109" s="2"/>
      <c r="K109" s="3"/>
      <c r="L109" s="2"/>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2"/>
      <c r="J110" s="2"/>
      <c r="K110" s="3"/>
      <c r="L110" s="2"/>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2"/>
      <c r="J111" s="2"/>
      <c r="K111" s="3"/>
      <c r="L111" s="2"/>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2"/>
      <c r="J112" s="2"/>
      <c r="K112" s="3"/>
      <c r="L112" s="2"/>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2"/>
      <c r="J113" s="2"/>
      <c r="K113" s="3"/>
      <c r="L113" s="2"/>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2"/>
      <c r="J114" s="2"/>
      <c r="K114" s="3"/>
      <c r="L114" s="2"/>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2"/>
      <c r="J115" s="2"/>
      <c r="K115" s="3"/>
      <c r="L115" s="2"/>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2"/>
      <c r="J116" s="2"/>
      <c r="K116" s="3"/>
      <c r="L116" s="2"/>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2"/>
      <c r="J117" s="2"/>
      <c r="K117" s="3"/>
      <c r="L117" s="2"/>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2"/>
      <c r="J118" s="2"/>
      <c r="K118" s="3"/>
      <c r="L118" s="2"/>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2"/>
      <c r="J119" s="2"/>
      <c r="K119" s="3"/>
      <c r="L119" s="2"/>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2"/>
      <c r="J120" s="2"/>
      <c r="K120" s="3"/>
      <c r="L120" s="2"/>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2"/>
      <c r="J121" s="2"/>
      <c r="K121" s="3"/>
      <c r="L121" s="2"/>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2"/>
      <c r="J122" s="2"/>
      <c r="K122" s="3"/>
      <c r="L122" s="2"/>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2"/>
      <c r="J123" s="2"/>
      <c r="K123" s="3"/>
      <c r="L123" s="2"/>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2"/>
      <c r="J124" s="2"/>
      <c r="K124" s="3"/>
      <c r="L124" s="2"/>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2"/>
      <c r="J125" s="2"/>
      <c r="K125" s="3"/>
      <c r="L125" s="2"/>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2"/>
      <c r="J126" s="2"/>
      <c r="K126" s="3"/>
      <c r="L126" s="2"/>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2"/>
      <c r="J127" s="2"/>
      <c r="K127" s="3"/>
      <c r="L127" s="2"/>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2"/>
      <c r="J128" s="2"/>
      <c r="K128" s="3"/>
      <c r="L128" s="2"/>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2"/>
      <c r="J129" s="2"/>
      <c r="K129" s="3"/>
      <c r="L129" s="2"/>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2"/>
      <c r="J130" s="2"/>
      <c r="K130" s="3"/>
      <c r="L130" s="2"/>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2"/>
      <c r="J131" s="2"/>
      <c r="K131" s="3"/>
      <c r="L131" s="2"/>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2"/>
      <c r="J132" s="2"/>
      <c r="K132" s="3"/>
      <c r="L132" s="2"/>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2"/>
      <c r="J133" s="2"/>
      <c r="K133" s="3"/>
      <c r="L133" s="2"/>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2"/>
      <c r="J134" s="2"/>
      <c r="K134" s="3"/>
      <c r="L134" s="2"/>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2"/>
      <c r="J135" s="2"/>
      <c r="K135" s="3"/>
      <c r="L135" s="2"/>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2"/>
      <c r="J136" s="2"/>
      <c r="K136" s="3"/>
      <c r="L136" s="2"/>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2"/>
      <c r="J137" s="2"/>
      <c r="K137" s="3"/>
      <c r="L137" s="2"/>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2"/>
      <c r="J138" s="2"/>
      <c r="K138" s="3"/>
      <c r="L138" s="2"/>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2"/>
      <c r="J139" s="2"/>
      <c r="K139" s="3"/>
      <c r="L139" s="2"/>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2"/>
      <c r="J140" s="2"/>
      <c r="K140" s="3"/>
      <c r="L140" s="2"/>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2"/>
      <c r="J141" s="2"/>
      <c r="K141" s="3"/>
      <c r="L141" s="2"/>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2"/>
      <c r="J142" s="2"/>
      <c r="K142" s="3"/>
      <c r="L142" s="2"/>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2"/>
      <c r="J143" s="2"/>
      <c r="K143" s="3"/>
      <c r="L143" s="2"/>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2"/>
      <c r="J144" s="2"/>
      <c r="K144" s="3"/>
      <c r="L144" s="2"/>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2"/>
      <c r="J145" s="2"/>
      <c r="K145" s="3"/>
      <c r="L145" s="2"/>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2"/>
      <c r="J146" s="2"/>
      <c r="K146" s="3"/>
      <c r="L146" s="2"/>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2"/>
      <c r="J147" s="2"/>
      <c r="K147" s="3"/>
      <c r="L147" s="2"/>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2"/>
      <c r="J148" s="2"/>
      <c r="K148" s="3"/>
      <c r="L148" s="2"/>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2"/>
      <c r="J149" s="2"/>
      <c r="K149" s="3"/>
      <c r="L149" s="2"/>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2"/>
      <c r="J150" s="2"/>
      <c r="K150" s="3"/>
      <c r="L150" s="2"/>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2"/>
      <c r="J151" s="2"/>
      <c r="K151" s="3"/>
      <c r="L151" s="2"/>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2"/>
      <c r="J152" s="2"/>
      <c r="K152" s="3"/>
      <c r="L152" s="2"/>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2"/>
      <c r="J153" s="2"/>
      <c r="K153" s="3"/>
      <c r="L153" s="2"/>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2"/>
      <c r="J154" s="2"/>
      <c r="K154" s="3"/>
      <c r="L154" s="2"/>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2"/>
      <c r="J155" s="2"/>
      <c r="K155" s="3"/>
      <c r="L155" s="2"/>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2"/>
      <c r="J156" s="2"/>
      <c r="K156" s="3"/>
      <c r="L156" s="2"/>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2"/>
      <c r="J157" s="2"/>
      <c r="K157" s="3"/>
      <c r="L157" s="2"/>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2"/>
      <c r="J158" s="2"/>
      <c r="K158" s="3"/>
      <c r="L158" s="2"/>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2"/>
      <c r="J159" s="2"/>
      <c r="K159" s="3"/>
      <c r="L159" s="2"/>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2"/>
      <c r="J160" s="2"/>
      <c r="K160" s="3"/>
      <c r="L160" s="2"/>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2"/>
      <c r="J161" s="2"/>
      <c r="K161" s="3"/>
      <c r="L161" s="2"/>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2"/>
      <c r="J162" s="2"/>
      <c r="K162" s="3"/>
      <c r="L162" s="2"/>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2"/>
      <c r="J163" s="2"/>
      <c r="K163" s="3"/>
      <c r="L163" s="2"/>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2"/>
      <c r="J164" s="2"/>
      <c r="K164" s="3"/>
      <c r="L164" s="2"/>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2"/>
      <c r="J165" s="2"/>
      <c r="K165" s="3"/>
      <c r="L165" s="2"/>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2"/>
      <c r="J166" s="2"/>
      <c r="K166" s="3"/>
      <c r="L166" s="2"/>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2"/>
      <c r="J167" s="2"/>
      <c r="K167" s="3"/>
      <c r="L167" s="2"/>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2"/>
      <c r="J168" s="2"/>
      <c r="K168" s="3"/>
      <c r="L168" s="2"/>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2"/>
      <c r="J169" s="2"/>
      <c r="K169" s="3"/>
      <c r="L169" s="2"/>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2"/>
      <c r="J170" s="2"/>
      <c r="K170" s="3"/>
      <c r="L170" s="2"/>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2"/>
      <c r="J171" s="2"/>
      <c r="K171" s="3"/>
      <c r="L171" s="2"/>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2"/>
      <c r="J172" s="2"/>
      <c r="K172" s="3"/>
      <c r="L172" s="2"/>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2"/>
      <c r="J173" s="2"/>
      <c r="K173" s="3"/>
      <c r="L173" s="2"/>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2"/>
      <c r="J174" s="2"/>
      <c r="K174" s="3"/>
      <c r="L174" s="2"/>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2"/>
      <c r="J175" s="2"/>
      <c r="K175" s="3"/>
      <c r="L175" s="2"/>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2"/>
      <c r="J176" s="2"/>
      <c r="K176" s="3"/>
      <c r="L176" s="2"/>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2"/>
      <c r="J177" s="2"/>
      <c r="K177" s="3"/>
      <c r="L177" s="2"/>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2"/>
      <c r="J178" s="2"/>
      <c r="K178" s="3"/>
      <c r="L178" s="2"/>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2"/>
      <c r="J179" s="2"/>
      <c r="K179" s="3"/>
      <c r="L179" s="2"/>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2"/>
      <c r="J180" s="2"/>
      <c r="K180" s="3"/>
      <c r="L180" s="2"/>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2"/>
      <c r="J181" s="2"/>
      <c r="K181" s="3"/>
      <c r="L181" s="2"/>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2"/>
      <c r="J182" s="2"/>
      <c r="K182" s="3"/>
      <c r="L182" s="2"/>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2"/>
      <c r="J183" s="2"/>
      <c r="K183" s="3"/>
      <c r="L183" s="2"/>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2"/>
      <c r="J184" s="2"/>
      <c r="K184" s="3"/>
      <c r="L184" s="2"/>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2"/>
      <c r="J185" s="2"/>
      <c r="K185" s="3"/>
      <c r="L185" s="2"/>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2"/>
      <c r="J186" s="2"/>
      <c r="K186" s="3"/>
      <c r="L186" s="2"/>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2"/>
      <c r="J187" s="2"/>
      <c r="K187" s="3"/>
      <c r="L187" s="2"/>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2"/>
      <c r="J188" s="2"/>
      <c r="K188" s="3"/>
      <c r="L188" s="2"/>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2"/>
      <c r="J189" s="2"/>
      <c r="K189" s="3"/>
      <c r="L189" s="2"/>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2"/>
      <c r="J190" s="2"/>
      <c r="K190" s="3"/>
      <c r="L190" s="2"/>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2"/>
      <c r="J191" s="2"/>
      <c r="K191" s="3"/>
      <c r="L191" s="2"/>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2"/>
      <c r="J192" s="2"/>
      <c r="K192" s="3"/>
      <c r="L192" s="2"/>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2"/>
      <c r="J193" s="2"/>
      <c r="K193" s="3"/>
      <c r="L193" s="2"/>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2"/>
      <c r="J194" s="2"/>
      <c r="K194" s="3"/>
      <c r="L194" s="2"/>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2"/>
      <c r="J195" s="2"/>
      <c r="K195" s="3"/>
      <c r="L195" s="2"/>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2"/>
      <c r="J196" s="2"/>
      <c r="K196" s="3"/>
      <c r="L196" s="2"/>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2"/>
      <c r="J197" s="2"/>
      <c r="K197" s="3"/>
      <c r="L197" s="2"/>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2"/>
      <c r="J198" s="2"/>
      <c r="K198" s="3"/>
      <c r="L198" s="2"/>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2"/>
      <c r="J199" s="2"/>
      <c r="K199" s="3"/>
      <c r="L199" s="2"/>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2"/>
      <c r="J200" s="2"/>
      <c r="K200" s="3"/>
      <c r="L200" s="2"/>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2"/>
      <c r="J201" s="2"/>
      <c r="K201" s="3"/>
      <c r="L201" s="2"/>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2"/>
      <c r="J202" s="2"/>
      <c r="K202" s="3"/>
      <c r="L202" s="2"/>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2"/>
      <c r="J203" s="2"/>
      <c r="K203" s="3"/>
      <c r="L203" s="2"/>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2"/>
      <c r="J204" s="2"/>
      <c r="K204" s="3"/>
      <c r="L204" s="2"/>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2"/>
      <c r="J205" s="2"/>
      <c r="K205" s="3"/>
      <c r="L205" s="2"/>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2"/>
      <c r="J206" s="2"/>
      <c r="K206" s="3"/>
      <c r="L206" s="2"/>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2"/>
      <c r="J207" s="2"/>
      <c r="K207" s="3"/>
      <c r="L207" s="2"/>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2"/>
      <c r="J208" s="2"/>
      <c r="K208" s="3"/>
      <c r="L208" s="2"/>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2"/>
      <c r="J209" s="2"/>
      <c r="K209" s="3"/>
      <c r="L209" s="2"/>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2"/>
      <c r="J210" s="2"/>
      <c r="K210" s="3"/>
      <c r="L210" s="2"/>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2"/>
      <c r="J211" s="2"/>
      <c r="K211" s="3"/>
      <c r="L211" s="2"/>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2"/>
      <c r="J212" s="2"/>
      <c r="K212" s="3"/>
      <c r="L212" s="2"/>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2"/>
      <c r="J213" s="2"/>
      <c r="K213" s="3"/>
      <c r="L213" s="2"/>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2"/>
      <c r="J214" s="2"/>
      <c r="K214" s="3"/>
      <c r="L214" s="2"/>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2"/>
      <c r="J215" s="2"/>
      <c r="K215" s="3"/>
      <c r="L215" s="2"/>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2"/>
      <c r="J216" s="2"/>
      <c r="K216" s="3"/>
      <c r="L216" s="2"/>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2"/>
      <c r="J217" s="2"/>
      <c r="K217" s="3"/>
      <c r="L217" s="2"/>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2"/>
      <c r="J218" s="2"/>
      <c r="K218" s="3"/>
      <c r="L218" s="2"/>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2"/>
      <c r="J219" s="2"/>
      <c r="K219" s="3"/>
      <c r="L219" s="2"/>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2"/>
      <c r="J220" s="2"/>
      <c r="K220" s="3"/>
      <c r="L220" s="2"/>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2"/>
      <c r="J221" s="2"/>
      <c r="K221" s="3"/>
      <c r="L221" s="2"/>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2"/>
      <c r="J222" s="2"/>
      <c r="K222" s="3"/>
      <c r="L222" s="2"/>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2"/>
      <c r="J223" s="2"/>
      <c r="K223" s="3"/>
      <c r="L223" s="2"/>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2"/>
      <c r="J224" s="2"/>
      <c r="K224" s="3"/>
      <c r="L224" s="2"/>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2"/>
      <c r="J225" s="2"/>
      <c r="K225" s="3"/>
      <c r="L225" s="2"/>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2"/>
      <c r="J226" s="2"/>
      <c r="K226" s="3"/>
      <c r="L226" s="2"/>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2"/>
      <c r="J227" s="2"/>
      <c r="K227" s="3"/>
      <c r="L227" s="2"/>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2"/>
      <c r="J228" s="2"/>
      <c r="K228" s="3"/>
      <c r="L228" s="2"/>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2"/>
      <c r="J229" s="2"/>
      <c r="K229" s="3"/>
      <c r="L229" s="2"/>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2"/>
      <c r="J230" s="2"/>
      <c r="K230" s="3"/>
      <c r="L230" s="2"/>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2"/>
      <c r="J231" s="2"/>
      <c r="K231" s="3"/>
      <c r="L231" s="2"/>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2"/>
      <c r="J232" s="2"/>
      <c r="K232" s="3"/>
      <c r="L232" s="2"/>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2"/>
      <c r="J233" s="2"/>
      <c r="K233" s="3"/>
      <c r="L233" s="2"/>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2"/>
      <c r="J234" s="2"/>
      <c r="K234" s="3"/>
      <c r="L234" s="2"/>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2"/>
      <c r="J235" s="2"/>
      <c r="K235" s="3"/>
      <c r="L235" s="2"/>
      <c r="M235" s="1"/>
      <c r="N235" s="1"/>
      <c r="O235" s="1"/>
      <c r="P235" s="1"/>
      <c r="Q235" s="1"/>
      <c r="R235" s="1"/>
      <c r="S235" s="1"/>
      <c r="T235" s="1"/>
      <c r="U235" s="1"/>
      <c r="V235" s="1"/>
      <c r="W235" s="1"/>
      <c r="X235" s="1"/>
      <c r="Y235" s="1"/>
      <c r="Z235" s="1"/>
    </row>
    <row r="236" spans="1:26" ht="15.75" customHeight="1" x14ac:dyDescent="0.3"/>
    <row r="237" spans="1:26" ht="15.75" customHeight="1" x14ac:dyDescent="0.3"/>
    <row r="238" spans="1:26" ht="15.75" customHeight="1" x14ac:dyDescent="0.3"/>
    <row r="239" spans="1:26" ht="15.75" customHeight="1" x14ac:dyDescent="0.3"/>
    <row r="240" spans="1:26"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autoFilter ref="B5:O16" xr:uid="{00000000-0001-0000-0000-000000000000}">
    <sortState xmlns:xlrd2="http://schemas.microsoft.com/office/spreadsheetml/2017/richdata2" ref="B6:O16">
      <sortCondition ref="K5:K16"/>
    </sortState>
  </autoFilter>
  <mergeCells count="1">
    <mergeCell ref="B3:O3"/>
  </mergeCells>
  <conditionalFormatting sqref="L10">
    <cfRule type="colorScale" priority="3">
      <colorScale>
        <cfvo type="min"/>
        <cfvo type="max"/>
        <color rgb="FF57BB8A"/>
        <color rgb="FFFFFFFF"/>
      </colorScale>
    </cfRule>
  </conditionalFormatting>
  <conditionalFormatting sqref="L6 L9 L11:L26">
    <cfRule type="colorScale" priority="5">
      <colorScale>
        <cfvo type="min"/>
        <cfvo type="max"/>
        <color rgb="FF57BB8A"/>
        <color rgb="FFFFFFFF"/>
      </colorScale>
    </cfRule>
  </conditionalFormatting>
  <conditionalFormatting sqref="L12:L18">
    <cfRule type="colorScale" priority="9">
      <colorScale>
        <cfvo type="min"/>
        <cfvo type="max"/>
        <color rgb="FF57BB8A"/>
        <color rgb="FFFFFFFF"/>
      </colorScale>
    </cfRule>
  </conditionalFormatting>
  <dataValidations count="2">
    <dataValidation type="list" allowBlank="1" showErrorMessage="1" sqref="L6:L26" xr:uid="{00000000-0002-0000-0000-000000000000}">
      <formula1>$L$32:$L$35</formula1>
    </dataValidation>
    <dataValidation type="list" allowBlank="1" showErrorMessage="1" sqref="K6:K26" xr:uid="{00000000-0002-0000-0000-000001000000}">
      <formula1>$K$32:$K$34</formula1>
    </dataValidation>
  </dataValidations>
  <printOptions horizontalCentered="1"/>
  <pageMargins left="0.31496062992125984" right="0.31496062992125984" top="0.74803149606299213" bottom="0.55118110236220474"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00"/>
  <sheetViews>
    <sheetView showGridLines="0" workbookViewId="0">
      <selection activeCell="C35" sqref="C35"/>
    </sheetView>
  </sheetViews>
  <sheetFormatPr defaultColWidth="12.6640625" defaultRowHeight="15" customHeight="1" x14ac:dyDescent="0.3"/>
  <cols>
    <col min="1" max="1" width="9.4140625" customWidth="1"/>
    <col min="2" max="2" width="2.6640625" customWidth="1"/>
    <col min="3" max="15" width="10.6640625" customWidth="1"/>
    <col min="16" max="16" width="2.6640625" customWidth="1"/>
    <col min="17" max="26" width="9.4140625" customWidth="1"/>
  </cols>
  <sheetData>
    <row r="2" spans="1:26" ht="15" hidden="1" customHeight="1" x14ac:dyDescent="0.3"/>
    <row r="3" spans="1:26" ht="15" hidden="1" customHeight="1" x14ac:dyDescent="0.3"/>
    <row r="4" spans="1:26" ht="14.5" hidden="1" x14ac:dyDescent="0.35">
      <c r="C4" s="18"/>
      <c r="D4" s="18"/>
      <c r="E4" s="18"/>
      <c r="F4" s="19"/>
    </row>
    <row r="5" spans="1:26" ht="14.5" hidden="1" x14ac:dyDescent="0.35">
      <c r="C5" s="18"/>
      <c r="D5" s="18"/>
      <c r="E5" s="18"/>
      <c r="F5" s="19"/>
    </row>
    <row r="6" spans="1:26" ht="39.75" customHeight="1" x14ac:dyDescent="0.3">
      <c r="B6" s="67" t="s">
        <v>115</v>
      </c>
      <c r="C6" s="42"/>
      <c r="D6" s="42"/>
      <c r="E6" s="42"/>
      <c r="F6" s="42"/>
      <c r="G6" s="42"/>
      <c r="H6" s="42"/>
      <c r="I6" s="42"/>
      <c r="J6" s="42"/>
      <c r="K6" s="42"/>
      <c r="L6" s="42"/>
      <c r="M6" s="42"/>
      <c r="N6" s="42"/>
      <c r="O6" s="42"/>
      <c r="P6" s="43"/>
    </row>
    <row r="7" spans="1:26" ht="9.75" customHeight="1" x14ac:dyDescent="0.3">
      <c r="A7" s="20"/>
      <c r="B7" s="20"/>
      <c r="C7" s="21"/>
      <c r="D7" s="21"/>
      <c r="E7" s="21"/>
      <c r="F7" s="21"/>
      <c r="G7" s="21"/>
      <c r="H7" s="21"/>
      <c r="I7" s="21"/>
      <c r="J7" s="21"/>
      <c r="K7" s="21"/>
      <c r="L7" s="21"/>
      <c r="M7" s="21"/>
      <c r="N7" s="21"/>
      <c r="O7" s="21"/>
      <c r="P7" s="20"/>
      <c r="Q7" s="20"/>
      <c r="R7" s="20"/>
      <c r="S7" s="20"/>
      <c r="T7" s="20"/>
      <c r="U7" s="20"/>
      <c r="V7" s="20"/>
      <c r="W7" s="20"/>
      <c r="X7" s="20"/>
      <c r="Y7" s="20"/>
      <c r="Z7" s="20"/>
    </row>
    <row r="8" spans="1:26" ht="9.75" customHeight="1" x14ac:dyDescent="0.35">
      <c r="B8" s="22"/>
      <c r="C8" s="23"/>
      <c r="D8" s="23"/>
      <c r="E8" s="23"/>
      <c r="F8" s="24"/>
      <c r="G8" s="25"/>
      <c r="H8" s="25"/>
      <c r="I8" s="25"/>
      <c r="J8" s="25"/>
      <c r="K8" s="25"/>
      <c r="L8" s="25"/>
      <c r="M8" s="25"/>
      <c r="N8" s="25"/>
      <c r="O8" s="25"/>
      <c r="P8" s="26"/>
      <c r="Q8" s="20"/>
    </row>
    <row r="9" spans="1:26" ht="30" customHeight="1" x14ac:dyDescent="0.3">
      <c r="B9" s="27"/>
      <c r="C9" s="28" t="s">
        <v>1</v>
      </c>
      <c r="D9" s="29"/>
      <c r="E9" s="62" t="s">
        <v>116</v>
      </c>
      <c r="F9" s="43"/>
      <c r="G9" s="29"/>
      <c r="H9" s="62" t="s">
        <v>11</v>
      </c>
      <c r="I9" s="43"/>
      <c r="J9" s="30"/>
      <c r="K9" s="30"/>
      <c r="L9" s="30"/>
      <c r="M9" s="30"/>
      <c r="N9" s="30"/>
      <c r="O9" s="30"/>
      <c r="P9" s="31"/>
      <c r="Q9" s="20"/>
    </row>
    <row r="10" spans="1:26" ht="30" customHeight="1" x14ac:dyDescent="0.3">
      <c r="B10" s="27"/>
      <c r="C10" s="32" t="s">
        <v>46</v>
      </c>
      <c r="D10" s="33"/>
      <c r="E10" s="63" t="e">
        <f>VLOOKUP(C10,'Formato descripción HU'!B6:O22,5,0)</f>
        <v>#N/A</v>
      </c>
      <c r="F10" s="43"/>
      <c r="G10" s="34"/>
      <c r="H10" s="63" t="e">
        <f>VLOOKUP(C10,'Formato descripción HU'!B6:O22,11,0)</f>
        <v>#N/A</v>
      </c>
      <c r="I10" s="43"/>
      <c r="J10" s="34"/>
      <c r="K10" s="30"/>
      <c r="L10" s="30"/>
      <c r="M10" s="30"/>
      <c r="N10" s="30"/>
      <c r="O10" s="30"/>
      <c r="P10" s="31"/>
      <c r="Q10" s="20"/>
    </row>
    <row r="11" spans="1:26" ht="9.75" customHeight="1" x14ac:dyDescent="0.3">
      <c r="A11" s="20"/>
      <c r="B11" s="27"/>
      <c r="C11" s="35"/>
      <c r="D11" s="33"/>
      <c r="E11" s="36"/>
      <c r="F11" s="36"/>
      <c r="G11" s="34"/>
      <c r="H11" s="36"/>
      <c r="I11" s="36"/>
      <c r="J11" s="34"/>
      <c r="K11" s="36"/>
      <c r="L11" s="36"/>
      <c r="M11" s="30"/>
      <c r="N11" s="36"/>
      <c r="O11" s="36"/>
      <c r="P11" s="31"/>
      <c r="Q11" s="20"/>
      <c r="R11" s="20"/>
      <c r="S11" s="20"/>
      <c r="T11" s="20"/>
      <c r="U11" s="20"/>
      <c r="V11" s="20"/>
      <c r="W11" s="20"/>
      <c r="X11" s="20"/>
      <c r="Y11" s="20"/>
      <c r="Z11" s="20"/>
    </row>
    <row r="12" spans="1:26" ht="30" customHeight="1" x14ac:dyDescent="0.3">
      <c r="A12" s="20"/>
      <c r="B12" s="27"/>
      <c r="C12" s="28" t="s">
        <v>117</v>
      </c>
      <c r="D12" s="33"/>
      <c r="E12" s="62" t="s">
        <v>10</v>
      </c>
      <c r="F12" s="43"/>
      <c r="G12" s="34"/>
      <c r="H12" s="62" t="s">
        <v>118</v>
      </c>
      <c r="I12" s="43"/>
      <c r="J12" s="34"/>
      <c r="K12" s="36"/>
      <c r="L12" s="36"/>
      <c r="M12" s="30"/>
      <c r="N12" s="36"/>
      <c r="O12" s="36"/>
      <c r="P12" s="31"/>
      <c r="Q12" s="20"/>
      <c r="R12" s="20"/>
      <c r="S12" s="20"/>
      <c r="T12" s="20"/>
      <c r="U12" s="20"/>
      <c r="V12" s="20"/>
      <c r="W12" s="20"/>
      <c r="X12" s="20"/>
      <c r="Y12" s="20"/>
      <c r="Z12" s="20"/>
    </row>
    <row r="13" spans="1:26" ht="30" customHeight="1" x14ac:dyDescent="0.3">
      <c r="A13" s="20"/>
      <c r="B13" s="27"/>
      <c r="C13" s="32" t="e">
        <f>VLOOKUP('Historia de Usuario'!C10,'Formato descripción HU'!B6:O22,8,0)</f>
        <v>#N/A</v>
      </c>
      <c r="D13" s="33"/>
      <c r="E13" s="63" t="e">
        <f>VLOOKUP(C10,'Formato descripción HU'!B6:O22,10,0)</f>
        <v>#N/A</v>
      </c>
      <c r="F13" s="43"/>
      <c r="G13" s="34"/>
      <c r="H13" s="63" t="e">
        <f>VLOOKUP(C10,'Formato descripción HU'!B6:O22,7,0)</f>
        <v>#N/A</v>
      </c>
      <c r="I13" s="43"/>
      <c r="J13" s="34"/>
      <c r="K13" s="36"/>
      <c r="L13" s="36"/>
      <c r="M13" s="30"/>
      <c r="N13" s="36"/>
      <c r="O13" s="36"/>
      <c r="P13" s="31"/>
      <c r="Q13" s="20"/>
      <c r="R13" s="20"/>
      <c r="S13" s="20"/>
      <c r="T13" s="20"/>
      <c r="U13" s="20"/>
      <c r="V13" s="20"/>
      <c r="W13" s="20"/>
      <c r="X13" s="20"/>
      <c r="Y13" s="20"/>
      <c r="Z13" s="20"/>
    </row>
    <row r="14" spans="1:26" ht="9.75" customHeight="1" x14ac:dyDescent="0.3">
      <c r="A14" s="20"/>
      <c r="B14" s="27"/>
      <c r="C14" s="30"/>
      <c r="D14" s="33"/>
      <c r="E14" s="30"/>
      <c r="F14" s="30"/>
      <c r="G14" s="34"/>
      <c r="H14" s="34"/>
      <c r="I14" s="30"/>
      <c r="J14" s="30"/>
      <c r="K14" s="30"/>
      <c r="L14" s="30"/>
      <c r="M14" s="30"/>
      <c r="N14" s="30"/>
      <c r="O14" s="30"/>
      <c r="P14" s="31"/>
      <c r="Q14" s="20"/>
      <c r="R14" s="20"/>
      <c r="S14" s="20"/>
      <c r="T14" s="20"/>
      <c r="U14" s="20"/>
      <c r="V14" s="20"/>
      <c r="W14" s="20"/>
      <c r="X14" s="20"/>
      <c r="Y14" s="20"/>
      <c r="Z14" s="20"/>
    </row>
    <row r="15" spans="1:26" ht="19.5" customHeight="1" x14ac:dyDescent="0.3">
      <c r="A15" s="20"/>
      <c r="B15" s="27"/>
      <c r="C15" s="44" t="s">
        <v>119</v>
      </c>
      <c r="D15" s="69" t="e">
        <f>VLOOKUP(C10,'Formato descripción HU'!B6:O22,3,0)</f>
        <v>#N/A</v>
      </c>
      <c r="E15" s="49"/>
      <c r="F15" s="37"/>
      <c r="G15" s="44" t="s">
        <v>120</v>
      </c>
      <c r="H15" s="69" t="e">
        <f>VLOOKUP(C10,'Formato descripción HU'!B6:O22,4,0)</f>
        <v>#N/A</v>
      </c>
      <c r="I15" s="48"/>
      <c r="J15" s="49"/>
      <c r="K15" s="37"/>
      <c r="L15" s="44" t="s">
        <v>121</v>
      </c>
      <c r="M15" s="47" t="e">
        <f>VLOOKUP(C10,'Formato descripción HU'!B6:O22,6,0)</f>
        <v>#N/A</v>
      </c>
      <c r="N15" s="48"/>
      <c r="O15" s="49"/>
      <c r="P15" s="31"/>
      <c r="Q15" s="20"/>
      <c r="R15" s="20"/>
      <c r="S15" s="20"/>
      <c r="T15" s="20"/>
      <c r="U15" s="20"/>
      <c r="V15" s="20"/>
      <c r="W15" s="20"/>
      <c r="X15" s="20"/>
      <c r="Y15" s="20"/>
      <c r="Z15" s="20"/>
    </row>
    <row r="16" spans="1:26" ht="19.5" customHeight="1" x14ac:dyDescent="0.3">
      <c r="A16" s="20"/>
      <c r="B16" s="27"/>
      <c r="C16" s="45"/>
      <c r="D16" s="50"/>
      <c r="E16" s="52"/>
      <c r="F16" s="37"/>
      <c r="G16" s="45"/>
      <c r="H16" s="50"/>
      <c r="I16" s="51"/>
      <c r="J16" s="52"/>
      <c r="K16" s="37"/>
      <c r="L16" s="45"/>
      <c r="M16" s="50"/>
      <c r="N16" s="51"/>
      <c r="O16" s="52"/>
      <c r="P16" s="31"/>
      <c r="Q16" s="20"/>
      <c r="R16" s="20"/>
      <c r="S16" s="20"/>
      <c r="T16" s="20"/>
      <c r="U16" s="20"/>
      <c r="V16" s="20"/>
      <c r="W16" s="20"/>
      <c r="X16" s="20"/>
      <c r="Y16" s="20"/>
      <c r="Z16" s="20"/>
    </row>
    <row r="17" spans="1:26" ht="19.5" customHeight="1" x14ac:dyDescent="0.3">
      <c r="A17" s="20"/>
      <c r="B17" s="27"/>
      <c r="C17" s="46"/>
      <c r="D17" s="53"/>
      <c r="E17" s="55"/>
      <c r="F17" s="37"/>
      <c r="G17" s="46"/>
      <c r="H17" s="53"/>
      <c r="I17" s="54"/>
      <c r="J17" s="55"/>
      <c r="K17" s="37"/>
      <c r="L17" s="46"/>
      <c r="M17" s="53"/>
      <c r="N17" s="54"/>
      <c r="O17" s="55"/>
      <c r="P17" s="31"/>
      <c r="Q17" s="20"/>
      <c r="R17" s="20"/>
      <c r="S17" s="20"/>
      <c r="T17" s="20"/>
      <c r="U17" s="20"/>
      <c r="V17" s="20"/>
      <c r="W17" s="20"/>
      <c r="X17" s="20"/>
      <c r="Y17" s="20"/>
      <c r="Z17" s="20"/>
    </row>
    <row r="18" spans="1:26" ht="9.75" customHeight="1" x14ac:dyDescent="0.3">
      <c r="A18" s="20"/>
      <c r="B18" s="27"/>
      <c r="C18" s="30"/>
      <c r="D18" s="30"/>
      <c r="E18" s="30"/>
      <c r="F18" s="30"/>
      <c r="G18" s="34"/>
      <c r="H18" s="34"/>
      <c r="I18" s="34"/>
      <c r="J18" s="30"/>
      <c r="K18" s="30"/>
      <c r="L18" s="30"/>
      <c r="M18" s="30"/>
      <c r="N18" s="30"/>
      <c r="O18" s="30"/>
      <c r="P18" s="31"/>
      <c r="Q18" s="20"/>
      <c r="R18" s="20"/>
      <c r="S18" s="20"/>
      <c r="T18" s="20"/>
      <c r="U18" s="20"/>
      <c r="V18" s="20"/>
      <c r="W18" s="20"/>
      <c r="X18" s="20"/>
      <c r="Y18" s="20"/>
      <c r="Z18" s="20"/>
    </row>
    <row r="19" spans="1:26" ht="19.5" customHeight="1" x14ac:dyDescent="0.3">
      <c r="B19" s="27"/>
      <c r="C19" s="64" t="s">
        <v>122</v>
      </c>
      <c r="D19" s="49"/>
      <c r="E19" s="56" t="e">
        <f>VLOOKUP(C10,'Formato descripción HU'!B6:O22,14,0)</f>
        <v>#N/A</v>
      </c>
      <c r="F19" s="57"/>
      <c r="G19" s="57"/>
      <c r="H19" s="57"/>
      <c r="I19" s="57"/>
      <c r="J19" s="57"/>
      <c r="K19" s="57"/>
      <c r="L19" s="57"/>
      <c r="M19" s="57"/>
      <c r="N19" s="57"/>
      <c r="O19" s="58"/>
      <c r="P19" s="31"/>
      <c r="Q19" s="20"/>
    </row>
    <row r="20" spans="1:26" ht="19.5" customHeight="1" x14ac:dyDescent="0.3">
      <c r="B20" s="27"/>
      <c r="C20" s="53"/>
      <c r="D20" s="55"/>
      <c r="E20" s="59"/>
      <c r="F20" s="60"/>
      <c r="G20" s="60"/>
      <c r="H20" s="60"/>
      <c r="I20" s="60"/>
      <c r="J20" s="60"/>
      <c r="K20" s="60"/>
      <c r="L20" s="60"/>
      <c r="M20" s="60"/>
      <c r="N20" s="60"/>
      <c r="O20" s="61"/>
      <c r="P20" s="31"/>
      <c r="Q20" s="20"/>
    </row>
    <row r="21" spans="1:26" ht="9.75" customHeight="1" x14ac:dyDescent="0.3">
      <c r="B21" s="27"/>
      <c r="C21" s="30"/>
      <c r="D21" s="30"/>
      <c r="E21" s="30"/>
      <c r="F21" s="30"/>
      <c r="G21" s="30"/>
      <c r="H21" s="30"/>
      <c r="I21" s="30"/>
      <c r="J21" s="30"/>
      <c r="K21" s="30"/>
      <c r="L21" s="30"/>
      <c r="M21" s="30"/>
      <c r="N21" s="30"/>
      <c r="O21" s="30"/>
      <c r="P21" s="31"/>
      <c r="Q21" s="20"/>
    </row>
    <row r="22" spans="1:26" ht="19.5" customHeight="1" x14ac:dyDescent="0.3">
      <c r="A22" s="20"/>
      <c r="B22" s="27"/>
      <c r="C22" s="65" t="s">
        <v>123</v>
      </c>
      <c r="D22" s="49"/>
      <c r="E22" s="66" t="e">
        <f>VLOOKUP(C10,'Formato descripción HU'!B6:O22,12,0)</f>
        <v>#N/A</v>
      </c>
      <c r="F22" s="48"/>
      <c r="G22" s="48"/>
      <c r="H22" s="49"/>
      <c r="I22" s="30"/>
      <c r="J22" s="65" t="s">
        <v>13</v>
      </c>
      <c r="K22" s="49"/>
      <c r="L22" s="68" t="e">
        <f>VLOOKUP(C10,'Formato descripción HU'!B6:O22,13,0)</f>
        <v>#N/A</v>
      </c>
      <c r="M22" s="48"/>
      <c r="N22" s="48"/>
      <c r="O22" s="49"/>
      <c r="P22" s="31"/>
      <c r="Q22" s="20"/>
      <c r="R22" s="20"/>
      <c r="S22" s="20"/>
      <c r="T22" s="20"/>
      <c r="U22" s="20"/>
      <c r="V22" s="20"/>
      <c r="W22" s="20"/>
      <c r="X22" s="20"/>
      <c r="Y22" s="20"/>
      <c r="Z22" s="20"/>
    </row>
    <row r="23" spans="1:26" ht="19.5" customHeight="1" x14ac:dyDescent="0.3">
      <c r="A23" s="20"/>
      <c r="B23" s="27"/>
      <c r="C23" s="50"/>
      <c r="D23" s="52"/>
      <c r="E23" s="50"/>
      <c r="F23" s="51"/>
      <c r="G23" s="51"/>
      <c r="H23" s="52"/>
      <c r="I23" s="30"/>
      <c r="J23" s="50"/>
      <c r="K23" s="52"/>
      <c r="L23" s="50"/>
      <c r="M23" s="51"/>
      <c r="N23" s="51"/>
      <c r="O23" s="52"/>
      <c r="P23" s="31"/>
      <c r="Q23" s="20"/>
      <c r="R23" s="20"/>
      <c r="S23" s="20"/>
      <c r="T23" s="20"/>
      <c r="U23" s="20"/>
      <c r="V23" s="20"/>
      <c r="W23" s="20"/>
      <c r="X23" s="20"/>
      <c r="Y23" s="20"/>
      <c r="Z23" s="20"/>
    </row>
    <row r="24" spans="1:26" ht="19.5" customHeight="1" x14ac:dyDescent="0.3">
      <c r="A24" s="20"/>
      <c r="B24" s="27"/>
      <c r="C24" s="53"/>
      <c r="D24" s="55"/>
      <c r="E24" s="53"/>
      <c r="F24" s="54"/>
      <c r="G24" s="54"/>
      <c r="H24" s="55"/>
      <c r="I24" s="30"/>
      <c r="J24" s="53"/>
      <c r="K24" s="55"/>
      <c r="L24" s="53"/>
      <c r="M24" s="54"/>
      <c r="N24" s="54"/>
      <c r="O24" s="55"/>
      <c r="P24" s="31"/>
      <c r="Q24" s="20"/>
      <c r="R24" s="20"/>
      <c r="S24" s="20"/>
      <c r="T24" s="20"/>
      <c r="U24" s="20"/>
      <c r="V24" s="20"/>
      <c r="W24" s="20"/>
      <c r="X24" s="20"/>
      <c r="Y24" s="20"/>
      <c r="Z24" s="20"/>
    </row>
    <row r="25" spans="1:26" ht="9.75" customHeight="1" x14ac:dyDescent="0.3">
      <c r="A25" s="20"/>
      <c r="B25" s="38"/>
      <c r="C25" s="39"/>
      <c r="D25" s="39"/>
      <c r="E25" s="39"/>
      <c r="F25" s="39"/>
      <c r="G25" s="39"/>
      <c r="H25" s="39"/>
      <c r="I25" s="39"/>
      <c r="J25" s="39"/>
      <c r="K25" s="39"/>
      <c r="L25" s="39"/>
      <c r="M25" s="39"/>
      <c r="N25" s="39"/>
      <c r="O25" s="39"/>
      <c r="P25" s="40"/>
      <c r="Q25" s="20"/>
      <c r="R25" s="20"/>
      <c r="S25" s="20"/>
      <c r="T25" s="20"/>
      <c r="U25" s="20"/>
      <c r="V25" s="20"/>
      <c r="W25" s="20"/>
      <c r="X25" s="20"/>
      <c r="Y25" s="20"/>
      <c r="Z25" s="20"/>
    </row>
    <row r="26" spans="1:26" ht="19.5" customHeight="1"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9.5" customHeight="1"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9.5" customHeight="1"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9.5" customHeight="1"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9.5" customHeight="1"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9.5" customHeight="1"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9.5" customHeight="1"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9.5" customHeight="1"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9.5" customHeight="1" x14ac:dyDescent="0.3">
      <c r="C34" s="20"/>
      <c r="D34" s="20"/>
      <c r="E34" s="20"/>
      <c r="F34" s="20"/>
      <c r="G34" s="20"/>
      <c r="H34" s="20"/>
      <c r="I34" s="20"/>
      <c r="J34" s="20"/>
      <c r="K34" s="20"/>
      <c r="L34" s="20"/>
      <c r="M34" s="20"/>
      <c r="N34" s="20"/>
      <c r="O34" s="20"/>
      <c r="P34" s="20"/>
    </row>
    <row r="35" spans="1:26" ht="19.5" customHeight="1" x14ac:dyDescent="0.3">
      <c r="C35" s="20"/>
      <c r="D35" s="20"/>
      <c r="E35" s="20"/>
      <c r="F35" s="20"/>
      <c r="G35" s="20"/>
      <c r="H35" s="20"/>
      <c r="I35" s="20"/>
      <c r="J35" s="20"/>
      <c r="K35" s="20"/>
      <c r="L35" s="20"/>
      <c r="M35" s="20"/>
      <c r="N35" s="20"/>
      <c r="O35" s="20"/>
      <c r="P35" s="20"/>
    </row>
    <row r="36" spans="1:26" ht="19.5" customHeight="1" x14ac:dyDescent="0.3">
      <c r="C36" s="20"/>
      <c r="D36" s="20"/>
      <c r="E36" s="20"/>
      <c r="F36" s="20"/>
      <c r="G36" s="20"/>
      <c r="H36" s="20"/>
      <c r="I36" s="20"/>
      <c r="J36" s="20"/>
      <c r="K36" s="20"/>
      <c r="L36" s="20"/>
      <c r="M36" s="20"/>
      <c r="N36" s="20"/>
      <c r="O36" s="20"/>
      <c r="P36" s="20"/>
    </row>
    <row r="37" spans="1:26" ht="19.5" customHeight="1" x14ac:dyDescent="0.3">
      <c r="C37" s="20"/>
      <c r="D37" s="20"/>
      <c r="E37" s="20"/>
      <c r="F37" s="20"/>
      <c r="G37" s="20"/>
      <c r="H37" s="20"/>
      <c r="I37" s="20"/>
      <c r="J37" s="20"/>
      <c r="K37" s="20"/>
      <c r="L37" s="20"/>
      <c r="M37" s="20"/>
      <c r="N37" s="20"/>
      <c r="O37" s="20"/>
      <c r="P37" s="20"/>
    </row>
    <row r="38" spans="1:26" ht="19.5" customHeight="1" x14ac:dyDescent="0.3">
      <c r="C38" s="20"/>
      <c r="D38" s="20"/>
      <c r="E38" s="20"/>
      <c r="F38" s="20"/>
      <c r="G38" s="20"/>
      <c r="H38" s="20"/>
      <c r="I38" s="20"/>
      <c r="J38" s="20"/>
      <c r="K38" s="20"/>
      <c r="L38" s="20"/>
      <c r="M38" s="20"/>
      <c r="N38" s="20"/>
      <c r="O38" s="20"/>
      <c r="P38" s="20"/>
    </row>
    <row r="39" spans="1:26" ht="19.5" customHeight="1" x14ac:dyDescent="0.3">
      <c r="C39" s="20"/>
      <c r="D39" s="20"/>
      <c r="E39" s="20"/>
      <c r="F39" s="20"/>
      <c r="G39" s="20"/>
      <c r="H39" s="20"/>
      <c r="I39" s="20"/>
      <c r="J39" s="20"/>
      <c r="K39" s="20"/>
      <c r="L39" s="20"/>
      <c r="M39" s="20"/>
      <c r="N39" s="20"/>
      <c r="O39" s="20"/>
      <c r="P39" s="20"/>
    </row>
    <row r="40" spans="1:26" ht="19.5" customHeight="1" x14ac:dyDescent="0.3">
      <c r="F40" s="20"/>
      <c r="G40" s="20"/>
      <c r="H40" s="20"/>
      <c r="I40" s="20"/>
      <c r="J40" s="20"/>
      <c r="K40" s="20"/>
      <c r="L40" s="20"/>
      <c r="M40" s="20"/>
      <c r="N40" s="20"/>
      <c r="O40" s="20"/>
      <c r="P40" s="20"/>
    </row>
    <row r="41" spans="1:26" ht="19.5" customHeight="1" x14ac:dyDescent="0.3">
      <c r="C41" s="20"/>
      <c r="D41" s="20"/>
      <c r="E41" s="20"/>
      <c r="F41" s="20"/>
      <c r="G41" s="20"/>
      <c r="H41" s="20"/>
      <c r="I41" s="20"/>
      <c r="J41" s="20"/>
      <c r="K41" s="20"/>
      <c r="L41" s="20"/>
      <c r="M41" s="20"/>
      <c r="N41" s="20"/>
      <c r="O41" s="20"/>
      <c r="P41" s="20"/>
    </row>
    <row r="42" spans="1:26" ht="19.5" customHeight="1" x14ac:dyDescent="0.3">
      <c r="C42" s="20"/>
      <c r="D42" s="20"/>
      <c r="E42" s="20"/>
      <c r="F42" s="20"/>
      <c r="G42" s="20"/>
      <c r="H42" s="20"/>
      <c r="I42" s="20"/>
      <c r="J42" s="20"/>
      <c r="K42" s="20"/>
      <c r="L42" s="20"/>
      <c r="M42" s="20"/>
      <c r="N42" s="20"/>
      <c r="O42" s="20"/>
      <c r="P42" s="20"/>
    </row>
    <row r="43" spans="1:26" ht="19.5" customHeight="1" x14ac:dyDescent="0.3">
      <c r="C43" s="20"/>
      <c r="D43" s="20"/>
      <c r="E43" s="20"/>
      <c r="F43" s="20"/>
      <c r="G43" s="20"/>
      <c r="H43" s="20"/>
      <c r="I43" s="20"/>
      <c r="J43" s="20"/>
      <c r="K43" s="20"/>
      <c r="L43" s="20"/>
      <c r="M43" s="20"/>
      <c r="N43" s="20"/>
      <c r="O43" s="20"/>
      <c r="P43" s="20"/>
    </row>
    <row r="44" spans="1:26" ht="19.5" customHeight="1" x14ac:dyDescent="0.3">
      <c r="C44" s="20"/>
      <c r="D44" s="20"/>
      <c r="E44" s="20"/>
      <c r="F44" s="20"/>
      <c r="G44" s="20"/>
      <c r="H44" s="20"/>
      <c r="I44" s="20"/>
      <c r="J44" s="20"/>
      <c r="K44" s="20"/>
      <c r="L44" s="20"/>
      <c r="M44" s="20"/>
      <c r="N44" s="20"/>
      <c r="O44" s="20"/>
      <c r="P44" s="20"/>
    </row>
    <row r="45" spans="1:26" ht="19.5" customHeight="1" x14ac:dyDescent="0.3">
      <c r="C45" s="20"/>
      <c r="D45" s="20"/>
      <c r="E45" s="20"/>
      <c r="F45" s="20"/>
      <c r="G45" s="20"/>
      <c r="H45" s="20"/>
      <c r="I45" s="20"/>
      <c r="J45" s="20"/>
      <c r="K45" s="20"/>
      <c r="L45" s="20"/>
      <c r="M45" s="20"/>
      <c r="N45" s="20"/>
      <c r="O45" s="20"/>
      <c r="P45" s="20"/>
    </row>
    <row r="46" spans="1:26" ht="19.5" customHeight="1" x14ac:dyDescent="0.3">
      <c r="C46" s="20"/>
      <c r="D46" s="20"/>
      <c r="E46" s="20"/>
      <c r="F46" s="20"/>
      <c r="G46" s="20"/>
      <c r="H46" s="20"/>
      <c r="I46" s="20"/>
      <c r="J46" s="20"/>
      <c r="K46" s="20"/>
      <c r="L46" s="20"/>
      <c r="M46" s="20"/>
      <c r="N46" s="20"/>
      <c r="O46" s="20"/>
      <c r="P46" s="20"/>
    </row>
    <row r="47" spans="1:26" ht="19.5" customHeight="1" x14ac:dyDescent="0.3">
      <c r="C47" s="20"/>
      <c r="D47" s="20"/>
      <c r="E47" s="20"/>
      <c r="F47" s="20"/>
      <c r="G47" s="20"/>
      <c r="H47" s="20"/>
      <c r="I47" s="20"/>
      <c r="J47" s="20"/>
      <c r="K47" s="20"/>
      <c r="L47" s="20"/>
      <c r="M47" s="20"/>
      <c r="N47" s="20"/>
      <c r="O47" s="20"/>
      <c r="P47" s="20"/>
    </row>
    <row r="48" spans="1:26" ht="19.5" customHeight="1" x14ac:dyDescent="0.3">
      <c r="C48" s="20"/>
      <c r="D48" s="20"/>
      <c r="E48" s="20"/>
      <c r="F48" s="20"/>
      <c r="G48" s="20"/>
      <c r="H48" s="20"/>
      <c r="I48" s="20"/>
      <c r="J48" s="20"/>
      <c r="K48" s="20"/>
      <c r="L48" s="20"/>
      <c r="M48" s="20"/>
      <c r="N48" s="20"/>
      <c r="O48" s="20"/>
      <c r="P48" s="20"/>
    </row>
    <row r="49" spans="3:16" ht="19.5" customHeight="1" x14ac:dyDescent="0.3">
      <c r="C49" s="20"/>
      <c r="D49" s="20"/>
      <c r="E49" s="20"/>
      <c r="F49" s="20"/>
      <c r="G49" s="20"/>
      <c r="H49" s="20"/>
      <c r="I49" s="20"/>
      <c r="J49" s="20"/>
      <c r="K49" s="20"/>
      <c r="L49" s="20"/>
      <c r="M49" s="20"/>
      <c r="N49" s="20"/>
      <c r="O49" s="20"/>
      <c r="P49" s="20"/>
    </row>
    <row r="50" spans="3:16" ht="19.5" customHeight="1" x14ac:dyDescent="0.3">
      <c r="C50" s="20"/>
      <c r="D50" s="20"/>
      <c r="E50" s="20"/>
      <c r="F50" s="20"/>
      <c r="G50" s="20"/>
      <c r="H50" s="20"/>
      <c r="I50" s="20"/>
      <c r="J50" s="20"/>
      <c r="K50" s="20"/>
      <c r="L50" s="20"/>
      <c r="M50" s="20"/>
      <c r="N50" s="20"/>
      <c r="O50" s="20"/>
      <c r="P50" s="20"/>
    </row>
    <row r="51" spans="3:16" ht="19.5" customHeight="1" x14ac:dyDescent="0.3">
      <c r="C51" s="20"/>
      <c r="D51" s="20"/>
      <c r="E51" s="20"/>
      <c r="F51" s="20"/>
      <c r="G51" s="20"/>
      <c r="H51" s="20"/>
      <c r="I51" s="20"/>
      <c r="J51" s="20"/>
      <c r="K51" s="20"/>
      <c r="L51" s="20"/>
      <c r="M51" s="20"/>
      <c r="N51" s="20"/>
      <c r="O51" s="20"/>
      <c r="P51" s="20"/>
    </row>
    <row r="52" spans="3:16" ht="19.5" customHeight="1" x14ac:dyDescent="0.3">
      <c r="C52" s="20"/>
      <c r="D52" s="20"/>
      <c r="E52" s="20"/>
      <c r="F52" s="20"/>
      <c r="G52" s="20"/>
      <c r="H52" s="20"/>
      <c r="I52" s="20"/>
      <c r="J52" s="20"/>
      <c r="K52" s="20"/>
      <c r="L52" s="20"/>
      <c r="M52" s="20"/>
      <c r="N52" s="20"/>
      <c r="O52" s="20"/>
      <c r="P52" s="20"/>
    </row>
    <row r="53" spans="3:16" ht="19.5" customHeight="1" x14ac:dyDescent="0.3">
      <c r="C53" s="20"/>
      <c r="D53" s="20"/>
      <c r="E53" s="20"/>
      <c r="F53" s="20"/>
      <c r="G53" s="20"/>
      <c r="H53" s="20"/>
      <c r="I53" s="20"/>
      <c r="J53" s="20"/>
      <c r="K53" s="20"/>
      <c r="L53" s="20"/>
      <c r="M53" s="20"/>
      <c r="N53" s="20"/>
      <c r="O53" s="20"/>
      <c r="P53" s="20"/>
    </row>
    <row r="54" spans="3:16" ht="19.5" customHeight="1" x14ac:dyDescent="0.3">
      <c r="C54" s="20"/>
      <c r="D54" s="20"/>
      <c r="E54" s="20"/>
      <c r="F54" s="20"/>
      <c r="G54" s="20"/>
      <c r="H54" s="20"/>
      <c r="I54" s="20"/>
      <c r="J54" s="20"/>
      <c r="K54" s="20"/>
      <c r="L54" s="20"/>
      <c r="M54" s="20"/>
      <c r="N54" s="20"/>
      <c r="O54" s="20"/>
    </row>
    <row r="55" spans="3:16" ht="15.75" customHeight="1" x14ac:dyDescent="0.3">
      <c r="C55" s="20"/>
      <c r="D55" s="20"/>
      <c r="E55" s="20"/>
      <c r="F55" s="20"/>
      <c r="G55" s="20"/>
      <c r="H55" s="20"/>
      <c r="I55" s="20"/>
      <c r="J55" s="20"/>
      <c r="K55" s="20"/>
      <c r="L55" s="20"/>
      <c r="M55" s="20"/>
      <c r="N55" s="20"/>
      <c r="O55" s="20"/>
    </row>
    <row r="56" spans="3:16" ht="15.75" customHeight="1" x14ac:dyDescent="0.3"/>
    <row r="57" spans="3:16" ht="15.75" customHeight="1" x14ac:dyDescent="0.3"/>
    <row r="58" spans="3:16" ht="15.75" customHeight="1" x14ac:dyDescent="0.3"/>
    <row r="59" spans="3:16" ht="15.75" customHeight="1" x14ac:dyDescent="0.3"/>
    <row r="60" spans="3:16" ht="15.75" customHeight="1" x14ac:dyDescent="0.3"/>
    <row r="61" spans="3:16" ht="15.75" customHeight="1" x14ac:dyDescent="0.3"/>
    <row r="62" spans="3:16" ht="15.75" customHeight="1" x14ac:dyDescent="0.3"/>
    <row r="63" spans="3:16" ht="15.75" customHeight="1" x14ac:dyDescent="0.3"/>
    <row r="64" spans="3:16"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1">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 ref="L15:L17"/>
    <mergeCell ref="M15:O17"/>
    <mergeCell ref="E19:O20"/>
    <mergeCell ref="E12:F12"/>
    <mergeCell ref="E13:F13"/>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HU'!$B$6:$B$22</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Jhordy Marcillo</cp:lastModifiedBy>
  <dcterms:modified xsi:type="dcterms:W3CDTF">2026-02-05T02:40:00Z</dcterms:modified>
</cp:coreProperties>
</file>